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C:\Users\ext.s.n.gugulothu\IBM\ITX\Documentation\EDIT0019557 - JP-MBL - Schenker Migration\"/>
    </mc:Choice>
  </mc:AlternateContent>
  <xr:revisionPtr revIDLastSave="0" documentId="13_ncr:1_{97560FFA-A625-4780-B937-707822ED1261}" xr6:coauthVersionLast="47" xr6:coauthVersionMax="47" xr10:uidLastSave="{00000000-0000-0000-0000-000000000000}"/>
  <bookViews>
    <workbookView xWindow="-108" yWindow="-108" windowWidth="23256" windowHeight="13896" tabRatio="748" activeTab="2" xr2:uid="{00000000-000D-0000-FFFF-FFFF00000000}"/>
  </bookViews>
  <sheets>
    <sheet name="Changelog" sheetId="4" r:id="rId1"/>
    <sheet name="Instruction EDI test" sheetId="11" r:id="rId2"/>
    <sheet name="UNIT Test Scenario" sheetId="8" r:id="rId3"/>
    <sheet name="INT Test Scenario - LW FW" sheetId="10" r:id="rId4"/>
    <sheet name="INT Test Scenario - DSV FW" sheetId="14" r:id="rId5"/>
    <sheet name="UAT Scenario" sheetId="9" r:id="rId6"/>
    <sheet name="Regression Test Scenario" sheetId="13" r:id="rId7"/>
    <sheet name="Issues" sheetId="2" r:id="rId8"/>
  </sheets>
  <definedNames>
    <definedName name="_Toc283979650" localSheetId="1">'Instruction EDI test'!$A$1</definedName>
    <definedName name="_Toc283979651" localSheetId="1">'Instruction EDI test'!$A$2</definedName>
    <definedName name="_Toc283979652" localSheetId="1">'Instruction EDI test'!$A$13</definedName>
    <definedName name="_Toc283979653" localSheetId="1">'Instruction EDI test'!$A$29</definedName>
    <definedName name="_Toc283979654" localSheetId="1">'Instruction EDI test'!$A$50</definedName>
    <definedName name="_Toc283979655" localSheetId="1">'Instruction EDI test'!$A$61</definedName>
    <definedName name="_Toc283979656" localSheetId="1">'Instruction EDI test'!$A$63</definedName>
    <definedName name="_Toc283979657" localSheetId="1">'Instruction EDI test'!$A$65</definedName>
    <definedName name="RITM">'UNIT Test Scenario'!$B$4</definedName>
    <definedName name="SRQ">'UNIT Test Scenario'!$B$4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2" i="13" l="1"/>
  <c r="A26" i="13"/>
  <c r="A25" i="13"/>
  <c r="A24" i="13"/>
  <c r="A23" i="13"/>
  <c r="A22" i="13"/>
  <c r="A21" i="13"/>
  <c r="A20" i="13"/>
  <c r="A19" i="13"/>
  <c r="A18" i="13"/>
  <c r="A17" i="13"/>
  <c r="A16" i="13"/>
  <c r="A15" i="13"/>
  <c r="A14" i="13"/>
  <c r="A13" i="13"/>
  <c r="A11" i="13"/>
  <c r="A10" i="13"/>
  <c r="A9" i="13"/>
  <c r="A8" i="13"/>
  <c r="A7" i="13"/>
  <c r="A26" i="9"/>
  <c r="A25" i="9"/>
  <c r="A24" i="9"/>
  <c r="A23" i="9"/>
  <c r="A22" i="9"/>
  <c r="A21" i="9"/>
  <c r="A20" i="9"/>
  <c r="A19" i="9"/>
  <c r="A18" i="9"/>
  <c r="A17" i="9"/>
  <c r="A16" i="9"/>
  <c r="A15" i="9"/>
  <c r="A14" i="9"/>
  <c r="A13" i="9"/>
  <c r="A12" i="9"/>
  <c r="A11" i="9"/>
  <c r="A10" i="9"/>
  <c r="A9" i="9"/>
  <c r="A8" i="9"/>
  <c r="A7" i="9"/>
  <c r="A26" i="14"/>
  <c r="A25" i="14"/>
  <c r="A24" i="14"/>
  <c r="A23" i="14"/>
  <c r="A22" i="14"/>
  <c r="A21" i="14"/>
  <c r="A20" i="14"/>
  <c r="A19" i="14"/>
  <c r="A18" i="14"/>
  <c r="A17" i="14"/>
  <c r="A16" i="14"/>
  <c r="A15" i="14"/>
  <c r="A14" i="14"/>
  <c r="A13" i="14"/>
  <c r="A12" i="14"/>
  <c r="A11" i="14"/>
  <c r="A10" i="14"/>
  <c r="A9" i="14"/>
  <c r="A8" i="14"/>
  <c r="A7" i="14"/>
  <c r="A26" i="10"/>
  <c r="A25" i="10"/>
  <c r="A24" i="10"/>
  <c r="A23" i="10"/>
  <c r="A22" i="10"/>
  <c r="A21" i="10"/>
  <c r="A20" i="10"/>
  <c r="A19" i="10"/>
  <c r="A18" i="10"/>
  <c r="A17" i="10"/>
  <c r="A16" i="10"/>
  <c r="A15" i="10"/>
  <c r="A14" i="10"/>
  <c r="A13" i="10"/>
  <c r="A12" i="10"/>
  <c r="A11" i="10"/>
  <c r="A10" i="10"/>
  <c r="A9" i="10"/>
  <c r="A8" i="10"/>
  <c r="A7" i="10"/>
  <c r="A26" i="8"/>
  <c r="A25" i="8"/>
  <c r="A24" i="8"/>
  <c r="A23" i="8"/>
  <c r="A22" i="8"/>
  <c r="A21" i="8"/>
  <c r="A20" i="8"/>
  <c r="A19" i="8"/>
  <c r="A18" i="8"/>
  <c r="A17" i="8"/>
  <c r="A16" i="8"/>
  <c r="A15" i="8"/>
  <c r="A14" i="8"/>
  <c r="A13" i="8"/>
  <c r="A12" i="8"/>
  <c r="A11" i="8"/>
  <c r="A10" i="8"/>
  <c r="A9" i="8"/>
  <c r="A8" i="8"/>
  <c r="A7" i="8"/>
</calcChain>
</file>

<file path=xl/sharedStrings.xml><?xml version="1.0" encoding="utf-8"?>
<sst xmlns="http://schemas.openxmlformats.org/spreadsheetml/2006/main" count="232" uniqueCount="126">
  <si>
    <t>Change log</t>
  </si>
  <si>
    <t>Date (YYYY-MM-DD)</t>
  </si>
  <si>
    <t>Modified By</t>
  </si>
  <si>
    <t>Adjustment</t>
  </si>
  <si>
    <t>Template Version</t>
  </si>
  <si>
    <r>
      <t>1</t>
    </r>
    <r>
      <rPr>
        <b/>
        <sz val="7"/>
        <rFont val="Arial"/>
        <family val="2"/>
      </rPr>
      <t xml:space="preserve">         </t>
    </r>
    <r>
      <rPr>
        <b/>
        <sz val="16"/>
        <rFont val="Arial"/>
        <family val="2"/>
      </rPr>
      <t>Test template document</t>
    </r>
  </si>
  <si>
    <r>
      <t>1.1</t>
    </r>
    <r>
      <rPr>
        <b/>
        <sz val="7"/>
        <rFont val="Arial"/>
        <family val="2"/>
      </rPr>
      <t xml:space="preserve">       </t>
    </r>
    <r>
      <rPr>
        <b/>
        <sz val="14"/>
        <rFont val="Arial"/>
        <family val="2"/>
      </rPr>
      <t>Test template categories.</t>
    </r>
  </si>
  <si>
    <t>There are three categories of test templates.</t>
  </si>
  <si>
    <t xml:space="preserve">Standard map test templates – these templates have a test sheet and information as well about the standard test files that are to be tested when a change is done to this map. The specific change is listed under the other test sheets in the file. These templates are placed in SharePoint under the folder for the standard map that the template belongs to. </t>
  </si>
  <si>
    <t>Test template – A general test template that should be able to be used for any tests. As the test cases in UNIT /component/ UAT needs to be entered. If more thatn one map is corrected then the test cases needs to refelct this as well. This template is stored in the general EDI AD template folder at SharePoint.</t>
  </si>
  <si>
    <t>Test template predefined test cases – (These templates are to be created so not in place.) Templates that has some predefined test cases where aditional ones for the specific case needs to be created. These templates are to be stored in the general EDI AD template folder at SharePoint.</t>
  </si>
  <si>
    <r>
      <t>1.2</t>
    </r>
    <r>
      <rPr>
        <b/>
        <sz val="7"/>
        <rFont val="Arial"/>
        <family val="2"/>
      </rPr>
      <t xml:space="preserve">       </t>
    </r>
    <r>
      <rPr>
        <b/>
        <sz val="14"/>
        <rFont val="Arial"/>
        <family val="2"/>
      </rPr>
      <t>Contents of the test scenario template</t>
    </r>
  </si>
  <si>
    <t>Change log- to be updated with creator and who has done updates.</t>
  </si>
  <si>
    <t xml:space="preserve">Issues – Here the issue list can be stored. </t>
  </si>
  <si>
    <t xml:space="preserve">Test file list – List the identification of test files used. Input filename and output file name. For the standard tests there are current output files that are to be compared to the new output files, these columns might not be applicable for other tests. </t>
  </si>
  <si>
    <t xml:space="preserve">Contact information- list contact information’s of persons involved in the testing. </t>
  </si>
  <si>
    <r>
      <t>1.3</t>
    </r>
    <r>
      <rPr>
        <b/>
        <sz val="7"/>
        <rFont val="Arial"/>
        <family val="2"/>
      </rPr>
      <t xml:space="preserve">       </t>
    </r>
    <r>
      <rPr>
        <b/>
        <sz val="14"/>
        <rFont val="Arial"/>
        <family val="2"/>
      </rPr>
      <t>Naming standard</t>
    </r>
  </si>
  <si>
    <t xml:space="preserve">Naming of the test cases has been given a specific structure see table below. </t>
  </si>
  <si>
    <t>UNI = Unit</t>
  </si>
  <si>
    <t>UAT = User Acceptance Test</t>
  </si>
  <si>
    <t>RGR = Regression Test</t>
  </si>
  <si>
    <r>
      <t>1.4</t>
    </r>
    <r>
      <rPr>
        <b/>
        <sz val="7"/>
        <rFont val="Arial"/>
        <family val="2"/>
      </rPr>
      <t xml:space="preserve">       </t>
    </r>
    <r>
      <rPr>
        <b/>
        <sz val="14"/>
        <rFont val="Arial"/>
        <family val="2"/>
      </rPr>
      <t>Usage of the test cases.</t>
    </r>
  </si>
  <si>
    <t xml:space="preserve">There are two different ways to illustrate/write/use the test scenarios descriptions in the test document . </t>
  </si>
  <si>
    <r>
      <t>A)</t>
    </r>
    <r>
      <rPr>
        <sz val="7"/>
        <rFont val="Arial"/>
        <family val="2"/>
      </rPr>
      <t xml:space="preserve">    </t>
    </r>
    <r>
      <rPr>
        <sz val="12"/>
        <rFont val="Arial"/>
        <family val="2"/>
      </rPr>
      <t>If a test fails, the issue is listed and then a retest is done and listed. And this is done until the test can be marked as ok due to passed or other considerations put it as passed.</t>
    </r>
  </si>
  <si>
    <t xml:space="preserve">When doing this the intention is that the naming is altered by the last character in the test name is altered in alphabetic order. If you need to continue passed Z then continue on AA, AB… </t>
  </si>
  <si>
    <r>
      <t>B)</t>
    </r>
    <r>
      <rPr>
        <sz val="7"/>
        <rFont val="Arial"/>
        <family val="2"/>
      </rPr>
      <t xml:space="preserve">     </t>
    </r>
    <r>
      <rPr>
        <sz val="12"/>
        <rFont val="Arial"/>
        <family val="2"/>
      </rPr>
      <t xml:space="preserve">Only keep the success test listed. Meaning no trace of the progress to reach the green status passed. (most commonly used when creating the test document after the tests has been completed. </t>
    </r>
  </si>
  <si>
    <r>
      <t>2</t>
    </r>
    <r>
      <rPr>
        <b/>
        <sz val="7"/>
        <rFont val="Arial"/>
        <family val="2"/>
      </rPr>
      <t xml:space="preserve">         </t>
    </r>
    <r>
      <rPr>
        <b/>
        <sz val="16"/>
        <rFont val="Arial"/>
        <family val="2"/>
      </rPr>
      <t>Placement in the Instruction landscape</t>
    </r>
  </si>
  <si>
    <t xml:space="preserve">This instruction is intended to support the usage of Test documentation part of the development procedure of EDI development. And thereby support the EDI development procedure. </t>
  </si>
  <si>
    <r>
      <t>2.1</t>
    </r>
    <r>
      <rPr>
        <b/>
        <sz val="7"/>
        <rFont val="Arial"/>
        <family val="2"/>
      </rPr>
      <t xml:space="preserve">       </t>
    </r>
    <r>
      <rPr>
        <b/>
        <sz val="14"/>
        <rFont val="Arial"/>
        <family val="2"/>
      </rPr>
      <t>Document placement on SharePoint</t>
    </r>
  </si>
  <si>
    <t xml:space="preserve">This document is to be placed under EDI Processes. </t>
  </si>
  <si>
    <r>
      <t>3</t>
    </r>
    <r>
      <rPr>
        <b/>
        <sz val="7"/>
        <rFont val="Arial"/>
        <family val="2"/>
      </rPr>
      <t xml:space="preserve">         </t>
    </r>
    <r>
      <rPr>
        <b/>
        <sz val="16"/>
        <rFont val="Arial"/>
        <family val="2"/>
      </rPr>
      <t>FAQ</t>
    </r>
  </si>
  <si>
    <t xml:space="preserve">This is as well allowed to do if possible, but not mandatory as we do not always have the access to the end application. So there only the end testers confirmation will have to do. </t>
  </si>
  <si>
    <r>
      <t>Can the same file be used for more than one test case?</t>
    </r>
    <r>
      <rPr>
        <sz val="12"/>
        <rFont val="Arial"/>
        <family val="2"/>
      </rPr>
      <t xml:space="preserve"> Yes.</t>
    </r>
  </si>
  <si>
    <t>Test Scenarios/Scripts</t>
  </si>
  <si>
    <t>Overview</t>
  </si>
  <si>
    <t>Passed</t>
  </si>
  <si>
    <r>
      <t xml:space="preserve">All entries </t>
    </r>
    <r>
      <rPr>
        <b/>
        <i/>
        <u/>
        <sz val="10"/>
        <color rgb="FF002060"/>
        <rFont val="Arial"/>
        <family val="2"/>
      </rPr>
      <t xml:space="preserve">must </t>
    </r>
    <r>
      <rPr>
        <u/>
        <sz val="10"/>
        <color rgb="FF002060"/>
        <rFont val="Arial"/>
        <family val="2"/>
      </rPr>
      <t xml:space="preserve">have </t>
    </r>
    <r>
      <rPr>
        <b/>
        <i/>
        <u/>
        <sz val="10"/>
        <color rgb="FF002060"/>
        <rFont val="Arial"/>
        <family val="2"/>
      </rPr>
      <t>Tester</t>
    </r>
    <r>
      <rPr>
        <u/>
        <sz val="10"/>
        <color rgb="FF002060"/>
        <rFont val="Arial"/>
        <family val="2"/>
      </rPr>
      <t xml:space="preserve"> &amp; </t>
    </r>
    <r>
      <rPr>
        <b/>
        <i/>
        <u/>
        <sz val="10"/>
        <color rgb="FF002060"/>
        <rFont val="Arial"/>
        <family val="2"/>
      </rPr>
      <t>Test Date</t>
    </r>
    <r>
      <rPr>
        <u/>
        <sz val="10"/>
        <color rgb="FF002060"/>
        <rFont val="Arial"/>
        <family val="2"/>
      </rPr>
      <t xml:space="preserve"> filled even if </t>
    </r>
    <r>
      <rPr>
        <b/>
        <i/>
        <u/>
        <sz val="10"/>
        <color rgb="FF002060"/>
        <rFont val="Arial"/>
        <family val="2"/>
      </rPr>
      <t>Status</t>
    </r>
    <r>
      <rPr>
        <u/>
        <sz val="10"/>
        <color rgb="FF002060"/>
        <rFont val="Arial"/>
        <family val="2"/>
      </rPr>
      <t xml:space="preserve"> have been set to </t>
    </r>
    <r>
      <rPr>
        <b/>
        <i/>
        <u/>
        <sz val="10"/>
        <color rgb="FF002060"/>
        <rFont val="Arial"/>
        <family val="2"/>
      </rPr>
      <t>Not applicable</t>
    </r>
  </si>
  <si>
    <t>Not applicable</t>
  </si>
  <si>
    <t>to make it visible who &amp; when made the decision</t>
  </si>
  <si>
    <t>In verification</t>
  </si>
  <si>
    <t>* indicates mandatory
information</t>
  </si>
  <si>
    <t>Failed</t>
  </si>
  <si>
    <t xml:space="preserve">*Name </t>
  </si>
  <si>
    <t>*Description
of test</t>
  </si>
  <si>
    <t>*Expected result</t>
  </si>
  <si>
    <t>*Status</t>
  </si>
  <si>
    <t>Issues/Remarks</t>
  </si>
  <si>
    <t>*Tester</t>
  </si>
  <si>
    <r>
      <t xml:space="preserve">*Test Date
</t>
    </r>
    <r>
      <rPr>
        <b/>
        <i/>
        <sz val="10"/>
        <rFont val="Arial"/>
        <family val="2"/>
      </rPr>
      <t>(YYYY-MM-DD)</t>
    </r>
  </si>
  <si>
    <t>Input Filename</t>
  </si>
  <si>
    <t>Output Filename</t>
  </si>
  <si>
    <t>Retest</t>
  </si>
  <si>
    <t>New test name</t>
  </si>
  <si>
    <t>Message type</t>
  </si>
  <si>
    <t>Map name/s</t>
  </si>
  <si>
    <t>No</t>
  </si>
  <si>
    <t>The test with multiple Transactions.</t>
  </si>
  <si>
    <t>Output is as expected using multiple transactions</t>
  </si>
  <si>
    <t xml:space="preserve">This is a mandatory for all the new maps. If not applicable this is to be stated. </t>
  </si>
  <si>
    <t>The map is tested with single transaction</t>
  </si>
  <si>
    <t>Output is as expected using single transactions</t>
  </si>
  <si>
    <t>This is a mandatory test for all the new maps.</t>
  </si>
  <si>
    <t>Output file is in UTF-8 format</t>
  </si>
  <si>
    <t>Mandatory for all maps with XML output</t>
  </si>
  <si>
    <t>The checkbox checked.</t>
  </si>
  <si>
    <t>Not tested</t>
  </si>
  <si>
    <t>*Input Filename</t>
  </si>
  <si>
    <t>*Output Filename</t>
  </si>
  <si>
    <t>Text in this cell and the one below are instructions and should be deleted when creating the UAT scenarios</t>
  </si>
  <si>
    <r>
      <t xml:space="preserve">Make sure that </t>
    </r>
    <r>
      <rPr>
        <b/>
        <i/>
        <sz val="10"/>
        <rFont val="Arial"/>
        <family val="2"/>
      </rPr>
      <t>Description of test</t>
    </r>
    <r>
      <rPr>
        <sz val="10"/>
        <rFont val="Arial"/>
        <family val="2"/>
      </rPr>
      <t xml:space="preserve"> is specific to the change, and is describing what is being tested (and not the expected result).
Make sure that there is at least one scenario covering each change made.</t>
    </r>
  </si>
  <si>
    <r>
      <t xml:space="preserve">Make sure that </t>
    </r>
    <r>
      <rPr>
        <b/>
        <i/>
        <sz val="10"/>
        <rFont val="Arial"/>
        <family val="2"/>
      </rPr>
      <t xml:space="preserve">Expected result </t>
    </r>
    <r>
      <rPr>
        <sz val="10"/>
        <rFont val="Arial"/>
        <family val="2"/>
      </rPr>
      <t>is specifying what is expected outcome of the test.</t>
    </r>
  </si>
  <si>
    <t>*Old output Filename</t>
  </si>
  <si>
    <t>*New output Filename</t>
  </si>
  <si>
    <t>Issue log</t>
  </si>
  <si>
    <t>Open
In progress
Closed</t>
  </si>
  <si>
    <t>Application
Communication
Test file
Scenario
Map
Configuration</t>
  </si>
  <si>
    <t>Issue number</t>
  </si>
  <si>
    <r>
      <t xml:space="preserve">Date Identified
</t>
    </r>
    <r>
      <rPr>
        <b/>
        <i/>
        <sz val="12"/>
        <rFont val="Arial"/>
        <family val="2"/>
      </rPr>
      <t>(YYYY-MM-DD)</t>
    </r>
  </si>
  <si>
    <t>Description</t>
  </si>
  <si>
    <t>Owner</t>
  </si>
  <si>
    <t xml:space="preserve">Status </t>
  </si>
  <si>
    <t>Remarks</t>
  </si>
  <si>
    <t>Place of failure</t>
  </si>
  <si>
    <t>Date of correction</t>
  </si>
  <si>
    <t>Comments</t>
  </si>
  <si>
    <t>Mandatory for all LW FW maps.</t>
  </si>
  <si>
    <t>INT = Integration Test</t>
  </si>
  <si>
    <r>
      <t>Uploading screenshots</t>
    </r>
    <r>
      <rPr>
        <sz val="12"/>
        <rFont val="Arial"/>
        <family val="2"/>
      </rPr>
      <t>: For changes there are on occasion in the UAT enclosed a screenshot as well showing that the result is as expected. To additional emphasise that the test has passed.</t>
    </r>
  </si>
  <si>
    <t>This is mandatory for all changes to maps and flows. If not applicable, this is to be stated along with a brief explanation.</t>
  </si>
  <si>
    <t>*LW Reference</t>
  </si>
  <si>
    <t>*Document WFID</t>
  </si>
  <si>
    <t>LW Framework</t>
  </si>
  <si>
    <t>DSV Framework</t>
  </si>
  <si>
    <t>*Description of test</t>
  </si>
  <si>
    <t xml:space="preserve">UNIT test scenario sheet – Sheet where infomration is to be entered regarding UNIT tests. </t>
  </si>
  <si>
    <t>INT Test Scenario - LW FW - Sheet where information is to be entered regarding integration tests on the Lightwell Framework.</t>
  </si>
  <si>
    <t>INT Test Scenario - DSV FW - Sheet where information is to be entered regarding integration tests on the DSV Framework.</t>
  </si>
  <si>
    <t xml:space="preserve">UAT Scenario – Sheet where information is to be entered regarding the UAT tests. </t>
  </si>
  <si>
    <t>Mandatory for all DSV FW maps with XML output</t>
  </si>
  <si>
    <r>
      <t xml:space="preserve">For the maps generating xml file as an output in the DSV FW, the encoding </t>
    </r>
    <r>
      <rPr>
        <i/>
        <sz val="10"/>
        <rFont val="Arial"/>
        <family val="2"/>
      </rPr>
      <t>must</t>
    </r>
    <r>
      <rPr>
        <sz val="10"/>
        <rFont val="Arial"/>
        <family val="2"/>
      </rPr>
      <t xml:space="preserve"> be set as UTF-8.
</t>
    </r>
    <r>
      <rPr>
        <i/>
        <sz val="10"/>
        <rFont val="Arial"/>
        <family val="2"/>
      </rPr>
      <t>(This can be done by accessing XML file properties -&gt; Output tab and then select UTF8 encoding from the encoding drop down list)</t>
    </r>
  </si>
  <si>
    <r>
      <t xml:space="preserve">For the maps generating xml file as an output, the checkbox titled as "use character entity references instead of CDATA sections" </t>
    </r>
    <r>
      <rPr>
        <i/>
        <sz val="10"/>
        <rFont val="Arial"/>
        <family val="2"/>
      </rPr>
      <t>must</t>
    </r>
    <r>
      <rPr>
        <sz val="10"/>
        <rFont val="Arial"/>
        <family val="2"/>
      </rPr>
      <t xml:space="preserve"> be checked.
</t>
    </r>
    <r>
      <rPr>
        <i/>
        <sz val="10"/>
        <rFont val="Arial"/>
        <family val="2"/>
      </rPr>
      <t>(This option can be found by accessing XML file properties -&gt; output tab)</t>
    </r>
  </si>
  <si>
    <r>
      <t xml:space="preserve">For the maps to be used in LW FW the encoding </t>
    </r>
    <r>
      <rPr>
        <i/>
        <sz val="10"/>
        <rFont val="Arial"/>
        <family val="2"/>
      </rPr>
      <t>must</t>
    </r>
    <r>
      <rPr>
        <sz val="10"/>
        <rFont val="Arial"/>
        <family val="2"/>
      </rPr>
      <t xml:space="preserve"> be set as UTF-8, including non-XML output maps
</t>
    </r>
  </si>
  <si>
    <t>This is mandatory if any setup (new or updated) involves a dynamic route, in route rules or maps, all the possible outcomes must be tested (all source and destination combinations), this includes performing regression testing on existing potential outcomes.</t>
  </si>
  <si>
    <t>Enter RITM/EDIT-number:</t>
  </si>
  <si>
    <t>The naming standard for the test document is. – Test scenario overview [RITM/EDIT]XXXX .  The name is to at least be used when uploading to SharePoint.  Do remember to remove the name template when using the document.</t>
  </si>
  <si>
    <t>UNI-RITM/EDIT-TEST-01A</t>
  </si>
  <si>
    <t>INT-RITM/EDIT-TEST-01A</t>
  </si>
  <si>
    <t>UAT-RITM/EDIT-TEST-01A</t>
  </si>
  <si>
    <t>EDIT = EDI Case Task number, e.g. EDIT123456</t>
  </si>
  <si>
    <t>RITM = RITM number, e.g. RITM123456.</t>
  </si>
  <si>
    <r>
      <t>Can a test document cover several maps?</t>
    </r>
    <r>
      <rPr>
        <sz val="12"/>
        <rFont val="Arial"/>
        <family val="2"/>
      </rPr>
      <t xml:space="preserve"> Yes, but make sure to indicate what map the test case is valid for. And if it is a flow test then all mapps must work for it to pass. See Default UNIT test </t>
    </r>
    <r>
      <rPr>
        <b/>
        <sz val="12"/>
        <rFont val="Arial"/>
        <family val="2"/>
      </rPr>
      <t>UNI-TEST-07A.</t>
    </r>
  </si>
  <si>
    <t>Perform a flow test on the Development environment for each message type being worked upon in the RITM/EDIT.</t>
  </si>
  <si>
    <t>Perform a flow test on the Development environment for each potential outcome of the Dynamic Route.</t>
  </si>
  <si>
    <t>All flows are successfully translated and reach the last step of the flow (no delivery due to no connection from EDI Development).</t>
  </si>
  <si>
    <t>v16</t>
  </si>
  <si>
    <t>Verify that SI map debugging is enabled and successfully disconnected</t>
  </si>
  <si>
    <r>
      <t xml:space="preserve">SI Map PTF should contain:
</t>
    </r>
    <r>
      <rPr>
        <i/>
        <sz val="10"/>
        <rFont val="Arial"/>
        <family val="2"/>
      </rPr>
      <t>Pre-session:</t>
    </r>
    <r>
      <rPr>
        <sz val="10"/>
        <rFont val="Arial"/>
        <family val="2"/>
      </rPr>
      <t xml:space="preserve">
object oVAR_CONNECTOR;
oVAR_CONNECTOR = "";
...
oVAR_CONNECTOR = new("com.stercomm.emea.mstrombrink.dbpoolconnector.Connector");                                                                                                                      
  oVAR_CONNECTOR.debugInfoMapName("[Map Name]");                                                                                                                    
oVAR_CONNECTOR.doDebug();                                                                                                                                                                             
  oVAR_CONNECTOR.connect("DSV_PARTNER_EDI_CONF");                                                                                                                                                       
oVAR_CONNECTOR.transactionStart();
</t>
    </r>
    <r>
      <rPr>
        <i/>
        <sz val="10"/>
        <rFont val="Arial"/>
        <family val="2"/>
      </rPr>
      <t>Post-session:</t>
    </r>
    <r>
      <rPr>
        <sz val="10"/>
        <rFont val="Arial"/>
        <family val="2"/>
      </rPr>
      <t xml:space="preserve">
oVAR_CONNECTOR.disconnect();</t>
    </r>
  </si>
  <si>
    <t>EXT.Sairam Naik Gugulothu</t>
  </si>
  <si>
    <t>Created</t>
  </si>
  <si>
    <t>EDIT0019557</t>
  </si>
  <si>
    <t xml:space="preserve">1. ASN
2.SHIPMENTORDER
3.SHIPTO
4.SKU
5.INVENTORY BALANCE
6.RECEIPT CONFIRMATION
</t>
  </si>
  <si>
    <t>1.MBLSSTEN_20260701170132_updated.txt
2.MBLSSSYU_20260702143631_updated.txt
3.MBLSSTOD_20260629134129.txt
4.MBLSSSYO_20260701134132_updated.txt
5.45994069_DOCUMENT_MESSAGE_IN.txt
6.45994068_DOCUMENT_MESSAGE_IN.txt</t>
  </si>
  <si>
    <t>1.16100190_DOCUMENT_MESSAGE_OUT.txt
2.16100304_DOCUMENT_MESSAGE_OUT.txt
3.16100305_DOCUMENT_MESSAGE_OUT.txt
4.16100303_DOCUMENT_MESSAGE_OUT.txt
5.SSMBLZAI_20260701185812.txt
6.SSMBLNYU_20260702102030.txt</t>
  </si>
  <si>
    <t>Perform a flow test for passthrough flows.</t>
  </si>
  <si>
    <t>All flows successfully reach the last step of the flow with the correct encoding conversion(s).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</si>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</sst>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22" x14ac:knownFonts="1">
    <font>
      <sz val="10"/>
      <name val="Arial"/>
    </font>
    <font>
      <sz val="11"/>
      <color theme="1"/>
      <name val="Calibri"/>
      <family val="2"/>
      <scheme val="minor"/>
    </font>
    <font>
      <sz val="11"/>
      <color theme="1"/>
      <name val="Calibri"/>
      <family val="2"/>
      <scheme val="minor"/>
    </font>
    <font>
      <sz val="10"/>
      <name val="Arial"/>
      <family val="2"/>
      <charset val="238"/>
    </font>
    <font>
      <b/>
      <sz val="12"/>
      <name val="Times New Roman"/>
      <family val="1"/>
    </font>
    <font>
      <b/>
      <sz val="10"/>
      <name val="Arial"/>
      <family val="2"/>
    </font>
    <font>
      <b/>
      <sz val="16"/>
      <name val="Arial"/>
      <family val="2"/>
    </font>
    <font>
      <b/>
      <sz val="12"/>
      <name val="Arial"/>
      <family val="2"/>
    </font>
    <font>
      <sz val="8"/>
      <name val="Arial"/>
      <family val="2"/>
    </font>
    <font>
      <sz val="10"/>
      <name val="Arial"/>
      <family val="2"/>
    </font>
    <font>
      <b/>
      <sz val="14"/>
      <name val="Arial"/>
      <family val="2"/>
    </font>
    <font>
      <b/>
      <sz val="12"/>
      <color rgb="FFFF0000"/>
      <name val="Times New Roman"/>
      <family val="1"/>
    </font>
    <font>
      <i/>
      <sz val="10"/>
      <name val="Arial"/>
      <family val="2"/>
    </font>
    <font>
      <b/>
      <i/>
      <sz val="10"/>
      <name val="Arial"/>
      <family val="2"/>
    </font>
    <font>
      <sz val="14"/>
      <color rgb="FFFF0000"/>
      <name val="Arial"/>
      <family val="2"/>
    </font>
    <font>
      <u/>
      <sz val="10"/>
      <color rgb="FF002060"/>
      <name val="Arial"/>
      <family val="2"/>
    </font>
    <font>
      <b/>
      <i/>
      <u/>
      <sz val="10"/>
      <color rgb="FF002060"/>
      <name val="Arial"/>
      <family val="2"/>
    </font>
    <font>
      <b/>
      <sz val="16"/>
      <color rgb="FFFF0000"/>
      <name val="Arial"/>
      <family val="2"/>
    </font>
    <font>
      <sz val="12"/>
      <name val="Arial"/>
      <family val="2"/>
    </font>
    <font>
      <b/>
      <sz val="7"/>
      <name val="Arial"/>
      <family val="2"/>
    </font>
    <font>
      <sz val="7"/>
      <name val="Arial"/>
      <family val="2"/>
    </font>
    <font>
      <b/>
      <i/>
      <sz val="12"/>
      <name val="Arial"/>
      <family val="2"/>
    </font>
  </fonts>
  <fills count="8">
    <fill>
      <patternFill patternType="none"/>
    </fill>
    <fill>
      <patternFill patternType="gray125"/>
    </fill>
    <fill>
      <patternFill patternType="solid">
        <fgColor indexed="13"/>
        <bgColor indexed="64"/>
      </patternFill>
    </fill>
    <fill>
      <patternFill patternType="solid">
        <fgColor indexed="10"/>
        <bgColor indexed="64"/>
      </patternFill>
    </fill>
    <fill>
      <patternFill patternType="solid">
        <fgColor indexed="1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9" fillId="0" borderId="0"/>
    <xf numFmtId="0" fontId="2" fillId="0" borderId="0"/>
    <xf numFmtId="0" fontId="1" fillId="0" borderId="0"/>
  </cellStyleXfs>
  <cellXfs count="118">
    <xf numFmtId="0" fontId="0" fillId="0" borderId="0" xfId="0"/>
    <xf numFmtId="0" fontId="0" fillId="0" borderId="0" xfId="0" applyAlignment="1">
      <alignment wrapText="1"/>
    </xf>
    <xf numFmtId="0" fontId="7" fillId="0" borderId="0" xfId="0" applyFont="1"/>
    <xf numFmtId="0" fontId="6" fillId="0" borderId="0" xfId="0" applyFont="1"/>
    <xf numFmtId="0" fontId="5" fillId="0" borderId="0" xfId="0" applyFont="1"/>
    <xf numFmtId="0" fontId="6" fillId="6" borderId="5" xfId="0" applyFont="1" applyFill="1" applyBorder="1"/>
    <xf numFmtId="0" fontId="6" fillId="6" borderId="6" xfId="0" applyFont="1" applyFill="1" applyBorder="1"/>
    <xf numFmtId="0" fontId="6" fillId="6" borderId="7" xfId="0" applyFont="1" applyFill="1" applyBorder="1" applyAlignment="1">
      <alignment wrapText="1"/>
    </xf>
    <xf numFmtId="0" fontId="6" fillId="0" borderId="0" xfId="0" applyFont="1" applyAlignment="1">
      <alignment wrapText="1"/>
    </xf>
    <xf numFmtId="0" fontId="6" fillId="6" borderId="6" xfId="0" applyFont="1" applyFill="1" applyBorder="1" applyAlignment="1">
      <alignment wrapText="1"/>
    </xf>
    <xf numFmtId="0" fontId="6" fillId="6" borderId="8" xfId="0" applyFont="1" applyFill="1" applyBorder="1" applyAlignment="1">
      <alignment wrapText="1"/>
    </xf>
    <xf numFmtId="0" fontId="0" fillId="6" borderId="9" xfId="0" applyFill="1" applyBorder="1" applyAlignment="1">
      <alignment wrapText="1"/>
    </xf>
    <xf numFmtId="0" fontId="7" fillId="6" borderId="2" xfId="0" applyFont="1" applyFill="1" applyBorder="1" applyAlignment="1">
      <alignment wrapText="1"/>
    </xf>
    <xf numFmtId="0" fontId="0" fillId="6" borderId="1" xfId="0" applyFill="1" applyBorder="1"/>
    <xf numFmtId="0" fontId="10" fillId="6" borderId="0" xfId="0" applyFont="1" applyFill="1"/>
    <xf numFmtId="0" fontId="0" fillId="6" borderId="4" xfId="0" applyFill="1" applyBorder="1"/>
    <xf numFmtId="0" fontId="6" fillId="6" borderId="0" xfId="0" applyFont="1" applyFill="1"/>
    <xf numFmtId="0" fontId="6" fillId="6" borderId="0" xfId="0" applyFont="1" applyFill="1" applyAlignment="1">
      <alignment wrapText="1"/>
    </xf>
    <xf numFmtId="0" fontId="0" fillId="6" borderId="14" xfId="0" applyFill="1" applyBorder="1" applyAlignment="1">
      <alignment wrapText="1"/>
    </xf>
    <xf numFmtId="0" fontId="9" fillId="6" borderId="14" xfId="0" applyFont="1" applyFill="1" applyBorder="1" applyAlignment="1">
      <alignment wrapText="1"/>
    </xf>
    <xf numFmtId="0" fontId="6" fillId="6" borderId="5" xfId="1" applyFont="1" applyFill="1" applyBorder="1"/>
    <xf numFmtId="0" fontId="6" fillId="6" borderId="7" xfId="1" applyFont="1" applyFill="1" applyBorder="1" applyAlignment="1">
      <alignment wrapText="1"/>
    </xf>
    <xf numFmtId="0" fontId="6" fillId="0" borderId="0" xfId="1" applyFont="1" applyAlignment="1">
      <alignment wrapText="1"/>
    </xf>
    <xf numFmtId="0" fontId="9" fillId="0" borderId="0" xfId="1"/>
    <xf numFmtId="0" fontId="6" fillId="0" borderId="0" xfId="1" applyFont="1"/>
    <xf numFmtId="0" fontId="6" fillId="6" borderId="6" xfId="1" applyFont="1" applyFill="1" applyBorder="1"/>
    <xf numFmtId="0" fontId="6" fillId="6" borderId="8" xfId="1" applyFont="1" applyFill="1" applyBorder="1" applyAlignment="1">
      <alignment wrapText="1"/>
    </xf>
    <xf numFmtId="0" fontId="6" fillId="6" borderId="0" xfId="1" applyFont="1" applyFill="1"/>
    <xf numFmtId="0" fontId="9" fillId="6" borderId="14" xfId="1" applyFill="1" applyBorder="1" applyAlignment="1">
      <alignment wrapText="1"/>
    </xf>
    <xf numFmtId="0" fontId="9" fillId="6" borderId="9" xfId="1" applyFill="1" applyBorder="1" applyAlignment="1">
      <alignment wrapText="1"/>
    </xf>
    <xf numFmtId="0" fontId="9" fillId="0" borderId="0" xfId="1" applyAlignment="1">
      <alignment wrapText="1"/>
    </xf>
    <xf numFmtId="0" fontId="6" fillId="6" borderId="7" xfId="0" applyFont="1" applyFill="1" applyBorder="1" applyAlignment="1">
      <alignment vertical="center" wrapText="1"/>
    </xf>
    <xf numFmtId="0" fontId="6" fillId="6" borderId="8" xfId="0" applyFont="1" applyFill="1" applyBorder="1" applyAlignment="1">
      <alignment vertical="center" wrapText="1"/>
    </xf>
    <xf numFmtId="0" fontId="0" fillId="6" borderId="9" xfId="0" applyFill="1" applyBorder="1" applyAlignment="1">
      <alignment vertical="center" wrapText="1"/>
    </xf>
    <xf numFmtId="0" fontId="0" fillId="0" borderId="0" xfId="0" applyAlignment="1">
      <alignment vertical="center"/>
    </xf>
    <xf numFmtId="0" fontId="15" fillId="0" borderId="0" xfId="0" applyFont="1"/>
    <xf numFmtId="0" fontId="17" fillId="6" borderId="8" xfId="0" applyFont="1" applyFill="1" applyBorder="1" applyAlignment="1">
      <alignment vertical="center" wrapText="1"/>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wrapText="1"/>
    </xf>
    <xf numFmtId="0" fontId="0" fillId="5" borderId="1" xfId="0" applyFill="1" applyBorder="1" applyAlignment="1">
      <alignment horizontal="center" vertical="center" wrapText="1"/>
    </xf>
    <xf numFmtId="0" fontId="0" fillId="3" borderId="1" xfId="0" applyFill="1" applyBorder="1" applyAlignment="1">
      <alignment horizontal="center" vertical="center" wrapText="1"/>
    </xf>
    <xf numFmtId="0" fontId="9" fillId="2" borderId="1" xfId="0" applyFont="1" applyFill="1" applyBorder="1" applyAlignment="1">
      <alignment horizontal="center" vertical="center"/>
    </xf>
    <xf numFmtId="0" fontId="9" fillId="4" borderId="1" xfId="1" applyFill="1" applyBorder="1" applyAlignment="1">
      <alignment horizontal="center" vertical="center"/>
    </xf>
    <xf numFmtId="0" fontId="9" fillId="2" borderId="1" xfId="1" applyFill="1" applyBorder="1" applyAlignment="1">
      <alignment horizontal="center" vertical="center"/>
    </xf>
    <xf numFmtId="0" fontId="9" fillId="5" borderId="1" xfId="1" applyFill="1" applyBorder="1" applyAlignment="1">
      <alignment horizontal="center" vertical="center"/>
    </xf>
    <xf numFmtId="0" fontId="9" fillId="3" borderId="1" xfId="1" applyFill="1" applyBorder="1" applyAlignment="1">
      <alignment horizontal="center" vertical="center"/>
    </xf>
    <xf numFmtId="0" fontId="6" fillId="0" borderId="0" xfId="0" applyFont="1" applyAlignment="1">
      <alignment horizontal="left" indent="2"/>
    </xf>
    <xf numFmtId="0" fontId="9" fillId="0" borderId="0" xfId="0" applyFont="1"/>
    <xf numFmtId="0" fontId="10" fillId="0" borderId="0" xfId="0" applyFont="1" applyAlignment="1">
      <alignment horizontal="left" indent="3"/>
    </xf>
    <xf numFmtId="0" fontId="18" fillId="0" borderId="0" xfId="0" applyFont="1"/>
    <xf numFmtId="0" fontId="18" fillId="0" borderId="0" xfId="0" applyFont="1" applyAlignment="1">
      <alignment horizontal="left" indent="4"/>
    </xf>
    <xf numFmtId="0" fontId="18" fillId="0" borderId="0" xfId="0" applyFont="1" applyAlignment="1">
      <alignment horizontal="left" indent="2"/>
    </xf>
    <xf numFmtId="0" fontId="7" fillId="0" borderId="0" xfId="0" applyFont="1" applyAlignment="1">
      <alignment horizontal="left" indent="2"/>
    </xf>
    <xf numFmtId="0" fontId="0" fillId="0" borderId="0" xfId="0" applyAlignment="1">
      <alignment horizontal="left" vertical="top" wrapText="1"/>
    </xf>
    <xf numFmtId="0" fontId="0" fillId="0" borderId="0" xfId="0" applyAlignment="1">
      <alignment horizontal="left" vertical="top"/>
    </xf>
    <xf numFmtId="0" fontId="7" fillId="6" borderId="13" xfId="0" applyFont="1" applyFill="1" applyBorder="1" applyAlignment="1">
      <alignment horizontal="left" vertical="top" wrapText="1"/>
    </xf>
    <xf numFmtId="0" fontId="3"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left" vertical="top"/>
    </xf>
    <xf numFmtId="0" fontId="5" fillId="6" borderId="10" xfId="1" applyFont="1" applyFill="1" applyBorder="1" applyAlignment="1">
      <alignment horizontal="left" vertical="top"/>
    </xf>
    <xf numFmtId="0" fontId="5" fillId="6" borderId="11" xfId="1" applyFont="1" applyFill="1" applyBorder="1" applyAlignment="1">
      <alignment horizontal="left" vertical="top" wrapText="1"/>
    </xf>
    <xf numFmtId="0" fontId="5" fillId="6" borderId="15" xfId="1" applyFont="1" applyFill="1" applyBorder="1" applyAlignment="1">
      <alignment horizontal="left" vertical="top"/>
    </xf>
    <xf numFmtId="0" fontId="5" fillId="6" borderId="11" xfId="1" applyFont="1" applyFill="1" applyBorder="1" applyAlignment="1">
      <alignment horizontal="left" vertical="top"/>
    </xf>
    <xf numFmtId="0" fontId="5" fillId="6" borderId="12" xfId="1" applyFont="1" applyFill="1" applyBorder="1" applyAlignment="1">
      <alignment horizontal="left" vertical="top"/>
    </xf>
    <xf numFmtId="0" fontId="4" fillId="0" borderId="1" xfId="1" applyFont="1" applyBorder="1" applyAlignment="1">
      <alignment horizontal="left" vertical="top"/>
    </xf>
    <xf numFmtId="0" fontId="9" fillId="0" borderId="1" xfId="1" applyBorder="1" applyAlignment="1">
      <alignment horizontal="left" vertical="top" wrapText="1"/>
    </xf>
    <xf numFmtId="16" fontId="9" fillId="0" borderId="1" xfId="1" applyNumberFormat="1" applyBorder="1" applyAlignment="1">
      <alignment horizontal="left" vertical="top" wrapText="1"/>
    </xf>
    <xf numFmtId="0" fontId="5" fillId="6" borderId="10" xfId="0" applyFont="1" applyFill="1" applyBorder="1" applyAlignment="1">
      <alignment horizontal="left" vertical="top"/>
    </xf>
    <xf numFmtId="0" fontId="5" fillId="6" borderId="11" xfId="0" applyFont="1" applyFill="1" applyBorder="1" applyAlignment="1">
      <alignment horizontal="left" vertical="top" wrapText="1"/>
    </xf>
    <xf numFmtId="0" fontId="5" fillId="6" borderId="15" xfId="0" applyFont="1" applyFill="1" applyBorder="1" applyAlignment="1">
      <alignment horizontal="left" vertical="top"/>
    </xf>
    <xf numFmtId="0" fontId="5" fillId="6" borderId="11" xfId="0" applyFont="1" applyFill="1" applyBorder="1" applyAlignment="1">
      <alignment horizontal="left" vertical="top"/>
    </xf>
    <xf numFmtId="0" fontId="5" fillId="6" borderId="12" xfId="0" applyFont="1" applyFill="1" applyBorder="1" applyAlignment="1">
      <alignment horizontal="left" vertical="top"/>
    </xf>
    <xf numFmtId="0" fontId="4" fillId="0" borderId="1" xfId="0" applyFont="1" applyBorder="1" applyAlignment="1">
      <alignment horizontal="left" vertical="top"/>
    </xf>
    <xf numFmtId="0" fontId="9" fillId="0" borderId="1" xfId="0" applyFont="1" applyBorder="1" applyAlignment="1">
      <alignment horizontal="left" vertical="top" wrapText="1"/>
    </xf>
    <xf numFmtId="16" fontId="9" fillId="0" borderId="1" xfId="0" applyNumberFormat="1" applyFont="1" applyBorder="1" applyAlignment="1">
      <alignment horizontal="left" vertical="top" wrapText="1"/>
    </xf>
    <xf numFmtId="0" fontId="5" fillId="6" borderId="10" xfId="0" applyFont="1" applyFill="1" applyBorder="1" applyAlignment="1">
      <alignment horizontal="left" vertical="top" wrapText="1"/>
    </xf>
    <xf numFmtId="0" fontId="5" fillId="6" borderId="15" xfId="0" applyFont="1" applyFill="1" applyBorder="1" applyAlignment="1">
      <alignment horizontal="left" vertical="top" wrapText="1"/>
    </xf>
    <xf numFmtId="0" fontId="5" fillId="6" borderId="12" xfId="0" applyFont="1" applyFill="1" applyBorder="1" applyAlignment="1">
      <alignment horizontal="left" vertical="top" wrapText="1"/>
    </xf>
    <xf numFmtId="0" fontId="9" fillId="0" borderId="1" xfId="0" applyFont="1" applyBorder="1" applyAlignment="1">
      <alignment horizontal="left" vertical="top"/>
    </xf>
    <xf numFmtId="0" fontId="5" fillId="6" borderId="16" xfId="0" applyFont="1" applyFill="1" applyBorder="1" applyAlignment="1">
      <alignment horizontal="left" vertical="top" wrapText="1"/>
    </xf>
    <xf numFmtId="0" fontId="11" fillId="0" borderId="1" xfId="0" applyFont="1" applyBorder="1" applyAlignment="1">
      <alignment horizontal="left" vertical="top" wrapText="1"/>
    </xf>
    <xf numFmtId="0" fontId="4" fillId="0" borderId="1" xfId="0" applyFont="1" applyBorder="1" applyAlignment="1">
      <alignment horizontal="left" vertical="top" wrapText="1"/>
    </xf>
    <xf numFmtId="164" fontId="0" fillId="0" borderId="0" xfId="0" applyNumberFormat="1" applyAlignment="1">
      <alignment horizontal="left" vertical="top"/>
    </xf>
    <xf numFmtId="164" fontId="7" fillId="6" borderId="0" xfId="0" applyNumberFormat="1" applyFont="1" applyFill="1" applyAlignment="1">
      <alignment horizontal="left" vertical="top"/>
    </xf>
    <xf numFmtId="164" fontId="0" fillId="6" borderId="0" xfId="0" applyNumberFormat="1" applyFill="1" applyAlignment="1">
      <alignment horizontal="left" vertical="top"/>
    </xf>
    <xf numFmtId="164" fontId="5" fillId="6" borderId="1" xfId="0" applyNumberFormat="1" applyFont="1" applyFill="1" applyBorder="1" applyAlignment="1">
      <alignment horizontal="left" vertical="top"/>
    </xf>
    <xf numFmtId="0" fontId="5" fillId="6" borderId="1" xfId="0" applyFont="1" applyFill="1" applyBorder="1" applyAlignment="1">
      <alignment horizontal="left" vertical="top"/>
    </xf>
    <xf numFmtId="0" fontId="0" fillId="0" borderId="1" xfId="0" applyBorder="1" applyAlignment="1">
      <alignment horizontal="left" vertical="top"/>
    </xf>
    <xf numFmtId="164" fontId="5" fillId="6" borderId="2" xfId="0" applyNumberFormat="1" applyFont="1" applyFill="1" applyBorder="1" applyAlignment="1">
      <alignment horizontal="left" vertical="top"/>
    </xf>
    <xf numFmtId="0" fontId="9" fillId="0" borderId="0" xfId="1" applyAlignment="1">
      <alignment horizontal="left" vertical="top"/>
    </xf>
    <xf numFmtId="0" fontId="9" fillId="0" borderId="3" xfId="0" applyFont="1" applyBorder="1" applyAlignment="1">
      <alignment horizontal="center" vertical="top"/>
    </xf>
    <xf numFmtId="165" fontId="0" fillId="0" borderId="1" xfId="0" applyNumberFormat="1" applyBorder="1" applyAlignment="1">
      <alignment horizontal="left" vertical="top"/>
    </xf>
    <xf numFmtId="165" fontId="0" fillId="0" borderId="0" xfId="0" applyNumberFormat="1"/>
    <xf numFmtId="165" fontId="5" fillId="6" borderId="11" xfId="0" applyNumberFormat="1" applyFont="1" applyFill="1" applyBorder="1" applyAlignment="1">
      <alignment horizontal="left" vertical="top" wrapText="1"/>
    </xf>
    <xf numFmtId="165" fontId="9" fillId="0" borderId="1" xfId="0" applyNumberFormat="1" applyFont="1" applyBorder="1" applyAlignment="1">
      <alignment horizontal="left" vertical="top" wrapText="1"/>
    </xf>
    <xf numFmtId="165" fontId="0" fillId="0" borderId="0" xfId="0" applyNumberFormat="1" applyAlignment="1">
      <alignment horizontal="left" vertical="top"/>
    </xf>
    <xf numFmtId="165" fontId="0" fillId="0" borderId="0" xfId="0" applyNumberFormat="1" applyAlignment="1">
      <alignment wrapText="1"/>
    </xf>
    <xf numFmtId="165" fontId="9" fillId="0" borderId="0" xfId="1" applyNumberFormat="1"/>
    <xf numFmtId="165" fontId="9" fillId="0" borderId="1" xfId="1" applyNumberFormat="1" applyBorder="1" applyAlignment="1">
      <alignment horizontal="left" vertical="top" wrapText="1"/>
    </xf>
    <xf numFmtId="165" fontId="7" fillId="6" borderId="11" xfId="0" applyNumberFormat="1" applyFont="1" applyFill="1" applyBorder="1" applyAlignment="1">
      <alignment horizontal="left" vertical="top" wrapText="1"/>
    </xf>
    <xf numFmtId="165" fontId="7" fillId="0" borderId="0" xfId="0" applyNumberFormat="1" applyFont="1" applyAlignment="1">
      <alignment horizontal="left" vertical="top"/>
    </xf>
    <xf numFmtId="165" fontId="7" fillId="6" borderId="3" xfId="0" applyNumberFormat="1" applyFont="1" applyFill="1" applyBorder="1" applyAlignment="1">
      <alignment horizontal="left" vertical="top"/>
    </xf>
    <xf numFmtId="165" fontId="3" fillId="0" borderId="1" xfId="0" applyNumberFormat="1" applyFont="1" applyBorder="1" applyAlignment="1">
      <alignment horizontal="left" vertical="top" wrapText="1"/>
    </xf>
    <xf numFmtId="0" fontId="3" fillId="0" borderId="1" xfId="0" applyFont="1" applyBorder="1" applyAlignment="1">
      <alignment horizontal="left" vertical="top"/>
    </xf>
    <xf numFmtId="0" fontId="14" fillId="6" borderId="17" xfId="0" applyFont="1" applyFill="1" applyBorder="1" applyAlignment="1">
      <alignment wrapText="1"/>
    </xf>
    <xf numFmtId="0" fontId="6" fillId="7" borderId="18" xfId="0" applyFont="1" applyFill="1" applyBorder="1" applyAlignment="1">
      <alignment wrapText="1"/>
    </xf>
    <xf numFmtId="0" fontId="9" fillId="0" borderId="0" xfId="0" applyFont="1" applyAlignment="1">
      <alignment horizontal="left" vertical="top" wrapText="1"/>
    </xf>
    <xf numFmtId="0" fontId="9" fillId="0" borderId="0" xfId="0" applyFont="1" applyAlignment="1">
      <alignment horizontal="left" vertical="top"/>
    </xf>
    <xf numFmtId="165" fontId="9" fillId="0" borderId="0" xfId="0" applyNumberFormat="1" applyFont="1" applyAlignment="1">
      <alignment horizontal="left" vertical="top"/>
    </xf>
    <xf numFmtId="0" fontId="9" fillId="0" borderId="0" xfId="0" applyFont="1" applyAlignment="1">
      <alignment vertical="center"/>
    </xf>
    <xf numFmtId="0" fontId="9" fillId="0" borderId="1" xfId="1" applyBorder="1" applyAlignment="1">
      <alignment horizontal="left" vertical="top"/>
    </xf>
    <xf numFmtId="0" fontId="9" fillId="0" borderId="0" xfId="1" applyAlignment="1">
      <alignment horizontal="left" vertical="top" wrapText="1"/>
    </xf>
    <xf numFmtId="165" fontId="9" fillId="0" borderId="0" xfId="1" applyNumberFormat="1" applyAlignment="1">
      <alignment horizontal="left" vertical="top"/>
    </xf>
    <xf numFmtId="0" fontId="12" fillId="0" borderId="0" xfId="0" applyFont="1"/>
  </cellXfs>
  <cellStyles count="4">
    <cellStyle name="Normal" xfId="0" builtinId="0"/>
    <cellStyle name="Normal 2" xfId="1" xr:uid="{00000000-0005-0000-0000-000001000000}"/>
    <cellStyle name="Normal 3" xfId="2" xr:uid="{00000000-0005-0000-0000-000002000000}"/>
    <cellStyle name="Normal 3 2" xfId="3" xr:uid="{1D546CE0-5016-4004-B19F-0070C23FE4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4"/>
  <sheetViews>
    <sheetView workbookViewId="0"/>
  </sheetViews>
  <sheetFormatPr defaultRowHeight="13.2" x14ac:dyDescent="0.25"/>
  <cols>
    <col min="1" max="1" width="18.5546875" style="86" bestFit="1" customWidth="1"/>
    <col min="2" max="2" width="29.109375" style="58" customWidth="1"/>
    <col min="3" max="3" width="26.109375" style="58" customWidth="1"/>
  </cols>
  <sheetData>
    <row r="1" spans="1:3" s="2" customFormat="1" ht="15.6" x14ac:dyDescent="0.3">
      <c r="A1" s="87" t="s">
        <v>0</v>
      </c>
      <c r="B1" s="62"/>
      <c r="C1" s="62"/>
    </row>
    <row r="2" spans="1:3" x14ac:dyDescent="0.25">
      <c r="A2" s="88"/>
    </row>
    <row r="3" spans="1:3" s="4" customFormat="1" x14ac:dyDescent="0.25">
      <c r="A3" s="89" t="s">
        <v>1</v>
      </c>
      <c r="B3" s="90" t="s">
        <v>2</v>
      </c>
      <c r="C3" s="90" t="s">
        <v>3</v>
      </c>
    </row>
    <row r="4" spans="1:3" x14ac:dyDescent="0.25">
      <c r="A4" s="106">
        <v>46239</v>
      </c>
      <c r="B4" s="107" t="s">
        <v>117</v>
      </c>
      <c r="C4" s="107" t="s">
        <v>118</v>
      </c>
    </row>
    <row r="5" spans="1:3" x14ac:dyDescent="0.25">
      <c r="A5" s="95"/>
      <c r="B5" s="91"/>
      <c r="C5" s="91"/>
    </row>
    <row r="6" spans="1:3" x14ac:dyDescent="0.25">
      <c r="A6" s="95"/>
      <c r="B6" s="91"/>
      <c r="C6" s="91"/>
    </row>
    <row r="7" spans="1:3" x14ac:dyDescent="0.25">
      <c r="A7" s="95"/>
      <c r="B7" s="91"/>
      <c r="C7" s="91"/>
    </row>
    <row r="8" spans="1:3" x14ac:dyDescent="0.25">
      <c r="A8" s="95"/>
      <c r="B8" s="91"/>
      <c r="C8" s="82"/>
    </row>
    <row r="9" spans="1:3" x14ac:dyDescent="0.25">
      <c r="A9" s="95"/>
      <c r="B9" s="91"/>
      <c r="C9" s="91"/>
    </row>
    <row r="10" spans="1:3" x14ac:dyDescent="0.25">
      <c r="A10" s="95"/>
      <c r="B10" s="91"/>
      <c r="C10" s="91"/>
    </row>
    <row r="11" spans="1:3" x14ac:dyDescent="0.25">
      <c r="A11" s="95"/>
      <c r="B11" s="91"/>
      <c r="C11" s="91"/>
    </row>
    <row r="13" spans="1:3" ht="13.8" thickBot="1" x14ac:dyDescent="0.3"/>
    <row r="14" spans="1:3" ht="13.8" thickBot="1" x14ac:dyDescent="0.3">
      <c r="A14" s="92" t="s">
        <v>4</v>
      </c>
      <c r="B14" s="94" t="s">
        <v>114</v>
      </c>
    </row>
  </sheetData>
  <phoneticPr fontId="8" type="noConversion"/>
  <pageMargins left="0.75" right="0.75" top="1" bottom="1" header="0.5" footer="0.5"/>
  <pageSetup paperSize="9" orientation="portrait" r:id="rId1"/>
  <headerFooter alignWithMargins="0">
    <oddFooter>&amp;C_x000D_&amp;1#&amp;"Calibri"&amp;10&amp;K000000 DSV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71"/>
  <sheetViews>
    <sheetView workbookViewId="0"/>
  </sheetViews>
  <sheetFormatPr defaultColWidth="9.109375" defaultRowHeight="13.2" x14ac:dyDescent="0.25"/>
  <cols>
    <col min="1" max="16384" width="9.109375" style="51"/>
  </cols>
  <sheetData>
    <row r="1" spans="1:1" ht="21" x14ac:dyDescent="0.4">
      <c r="A1" s="50" t="s">
        <v>5</v>
      </c>
    </row>
    <row r="2" spans="1:1" ht="17.399999999999999" x14ac:dyDescent="0.3">
      <c r="A2" s="52" t="s">
        <v>6</v>
      </c>
    </row>
    <row r="3" spans="1:1" ht="15" x14ac:dyDescent="0.25">
      <c r="A3" s="53"/>
    </row>
    <row r="4" spans="1:1" ht="15" x14ac:dyDescent="0.25">
      <c r="A4" s="53" t="s">
        <v>7</v>
      </c>
    </row>
    <row r="5" spans="1:1" ht="15" x14ac:dyDescent="0.25">
      <c r="A5" s="53"/>
    </row>
    <row r="6" spans="1:1" ht="15" x14ac:dyDescent="0.25">
      <c r="A6" s="53" t="s">
        <v>8</v>
      </c>
    </row>
    <row r="7" spans="1:1" ht="15" x14ac:dyDescent="0.25">
      <c r="A7" s="53"/>
    </row>
    <row r="8" spans="1:1" ht="15" x14ac:dyDescent="0.25">
      <c r="A8" s="53" t="s">
        <v>9</v>
      </c>
    </row>
    <row r="9" spans="1:1" ht="15" x14ac:dyDescent="0.25">
      <c r="A9" s="53"/>
    </row>
    <row r="10" spans="1:1" ht="15" x14ac:dyDescent="0.25">
      <c r="A10" s="53" t="s">
        <v>10</v>
      </c>
    </row>
    <row r="11" spans="1:1" ht="15" x14ac:dyDescent="0.25">
      <c r="A11" s="53"/>
    </row>
    <row r="12" spans="1:1" ht="15" x14ac:dyDescent="0.25">
      <c r="A12" s="53"/>
    </row>
    <row r="13" spans="1:1" ht="17.399999999999999" x14ac:dyDescent="0.3">
      <c r="A13" s="52" t="s">
        <v>11</v>
      </c>
    </row>
    <row r="14" spans="1:1" ht="15" x14ac:dyDescent="0.25">
      <c r="A14" s="53" t="s">
        <v>12</v>
      </c>
    </row>
    <row r="15" spans="1:1" ht="15" x14ac:dyDescent="0.25">
      <c r="A15" s="53"/>
    </row>
    <row r="16" spans="1:1" ht="15" x14ac:dyDescent="0.25">
      <c r="A16" s="53" t="s">
        <v>94</v>
      </c>
    </row>
    <row r="17" spans="1:1" ht="15" x14ac:dyDescent="0.25">
      <c r="A17" s="53"/>
    </row>
    <row r="18" spans="1:1" ht="15" x14ac:dyDescent="0.25">
      <c r="A18" s="53" t="s">
        <v>95</v>
      </c>
    </row>
    <row r="19" spans="1:1" ht="15" x14ac:dyDescent="0.25">
      <c r="A19" s="53" t="s">
        <v>96</v>
      </c>
    </row>
    <row r="20" spans="1:1" ht="15" x14ac:dyDescent="0.25">
      <c r="A20" s="53"/>
    </row>
    <row r="21" spans="1:1" ht="15" x14ac:dyDescent="0.25">
      <c r="A21" s="53" t="s">
        <v>97</v>
      </c>
    </row>
    <row r="22" spans="1:1" ht="15" x14ac:dyDescent="0.25">
      <c r="A22" s="53"/>
    </row>
    <row r="23" spans="1:1" ht="15" x14ac:dyDescent="0.25">
      <c r="A23" s="53" t="s">
        <v>13</v>
      </c>
    </row>
    <row r="24" spans="1:1" ht="15" x14ac:dyDescent="0.25">
      <c r="A24" s="53"/>
    </row>
    <row r="25" spans="1:1" ht="15" x14ac:dyDescent="0.25">
      <c r="A25" s="53" t="s">
        <v>14</v>
      </c>
    </row>
    <row r="26" spans="1:1" ht="15" x14ac:dyDescent="0.25">
      <c r="A26" s="53"/>
    </row>
    <row r="27" spans="1:1" ht="15" x14ac:dyDescent="0.25">
      <c r="A27" s="53" t="s">
        <v>15</v>
      </c>
    </row>
    <row r="28" spans="1:1" ht="15" x14ac:dyDescent="0.25">
      <c r="A28" s="53"/>
    </row>
    <row r="29" spans="1:1" ht="17.399999999999999" x14ac:dyDescent="0.3">
      <c r="A29" s="52" t="s">
        <v>16</v>
      </c>
    </row>
    <row r="30" spans="1:1" ht="15" x14ac:dyDescent="0.25">
      <c r="A30" s="53"/>
    </row>
    <row r="31" spans="1:1" ht="15" x14ac:dyDescent="0.25">
      <c r="A31" s="53" t="s">
        <v>104</v>
      </c>
    </row>
    <row r="32" spans="1:1" ht="15" x14ac:dyDescent="0.25">
      <c r="A32" s="53"/>
    </row>
    <row r="33" spans="1:1" ht="15" x14ac:dyDescent="0.25">
      <c r="A33" s="53"/>
    </row>
    <row r="34" spans="1:1" ht="15" x14ac:dyDescent="0.25">
      <c r="A34" s="53" t="s">
        <v>17</v>
      </c>
    </row>
    <row r="35" spans="1:1" ht="15" x14ac:dyDescent="0.25">
      <c r="A35" s="53"/>
    </row>
    <row r="36" spans="1:1" ht="15.6" x14ac:dyDescent="0.3">
      <c r="A36" s="2" t="s">
        <v>105</v>
      </c>
    </row>
    <row r="37" spans="1:1" ht="15.6" x14ac:dyDescent="0.3">
      <c r="A37" s="2" t="s">
        <v>106</v>
      </c>
    </row>
    <row r="38" spans="1:1" ht="15.6" x14ac:dyDescent="0.3">
      <c r="A38" s="2" t="s">
        <v>107</v>
      </c>
    </row>
    <row r="39" spans="1:1" ht="15.6" x14ac:dyDescent="0.3">
      <c r="A39" s="2"/>
    </row>
    <row r="40" spans="1:1" ht="15" x14ac:dyDescent="0.25">
      <c r="A40" s="53"/>
    </row>
    <row r="41" spans="1:1" ht="15" x14ac:dyDescent="0.25">
      <c r="A41" s="53" t="s">
        <v>18</v>
      </c>
    </row>
    <row r="42" spans="1:1" ht="15" x14ac:dyDescent="0.25">
      <c r="A42" s="53" t="s">
        <v>86</v>
      </c>
    </row>
    <row r="43" spans="1:1" ht="15" x14ac:dyDescent="0.25">
      <c r="A43" s="53" t="s">
        <v>19</v>
      </c>
    </row>
    <row r="44" spans="1:1" ht="15" x14ac:dyDescent="0.25">
      <c r="A44" s="53" t="s">
        <v>20</v>
      </c>
    </row>
    <row r="45" spans="1:1" ht="15" x14ac:dyDescent="0.25">
      <c r="A45" s="53" t="s">
        <v>109</v>
      </c>
    </row>
    <row r="46" spans="1:1" ht="15" x14ac:dyDescent="0.25">
      <c r="A46" s="53" t="s">
        <v>108</v>
      </c>
    </row>
    <row r="47" spans="1:1" ht="15" x14ac:dyDescent="0.25">
      <c r="A47" s="53"/>
    </row>
    <row r="48" spans="1:1" ht="15" x14ac:dyDescent="0.25">
      <c r="A48" s="53"/>
    </row>
    <row r="49" spans="1:1" ht="15" x14ac:dyDescent="0.25">
      <c r="A49" s="53"/>
    </row>
    <row r="50" spans="1:1" ht="17.399999999999999" x14ac:dyDescent="0.3">
      <c r="A50" s="52" t="s">
        <v>21</v>
      </c>
    </row>
    <row r="51" spans="1:1" ht="15" x14ac:dyDescent="0.25">
      <c r="A51" s="53"/>
    </row>
    <row r="52" spans="1:1" ht="15" x14ac:dyDescent="0.25">
      <c r="A52" s="53" t="s">
        <v>22</v>
      </c>
    </row>
    <row r="53" spans="1:1" ht="15" x14ac:dyDescent="0.25">
      <c r="A53" s="53"/>
    </row>
    <row r="54" spans="1:1" ht="15" x14ac:dyDescent="0.25">
      <c r="A54" s="54" t="s">
        <v>23</v>
      </c>
    </row>
    <row r="55" spans="1:1" ht="15" x14ac:dyDescent="0.25">
      <c r="A55" s="54" t="s">
        <v>24</v>
      </c>
    </row>
    <row r="56" spans="1:1" ht="15" x14ac:dyDescent="0.25">
      <c r="A56" s="55"/>
    </row>
    <row r="57" spans="1:1" ht="15" x14ac:dyDescent="0.25">
      <c r="A57" s="54" t="s">
        <v>25</v>
      </c>
    </row>
    <row r="58" spans="1:1" ht="15" x14ac:dyDescent="0.25">
      <c r="A58" s="53"/>
    </row>
    <row r="59" spans="1:1" ht="15" x14ac:dyDescent="0.25">
      <c r="A59" s="53"/>
    </row>
    <row r="61" spans="1:1" ht="21" x14ac:dyDescent="0.4">
      <c r="A61" s="50" t="s">
        <v>26</v>
      </c>
    </row>
    <row r="62" spans="1:1" ht="15" x14ac:dyDescent="0.25">
      <c r="A62" s="53" t="s">
        <v>27</v>
      </c>
    </row>
    <row r="63" spans="1:1" ht="17.399999999999999" x14ac:dyDescent="0.3">
      <c r="A63" s="52" t="s">
        <v>28</v>
      </c>
    </row>
    <row r="64" spans="1:1" ht="15" x14ac:dyDescent="0.25">
      <c r="A64" s="53" t="s">
        <v>29</v>
      </c>
    </row>
    <row r="65" spans="1:1" ht="21" x14ac:dyDescent="0.4">
      <c r="A65" s="50" t="s">
        <v>30</v>
      </c>
    </row>
    <row r="66" spans="1:1" ht="15.6" x14ac:dyDescent="0.3">
      <c r="A66" s="56" t="s">
        <v>87</v>
      </c>
    </row>
    <row r="67" spans="1:1" ht="15" x14ac:dyDescent="0.25">
      <c r="A67" s="55" t="s">
        <v>31</v>
      </c>
    </row>
    <row r="68" spans="1:1" ht="15" x14ac:dyDescent="0.25">
      <c r="A68" s="55"/>
    </row>
    <row r="69" spans="1:1" ht="15.6" x14ac:dyDescent="0.3">
      <c r="A69" s="56" t="s">
        <v>32</v>
      </c>
    </row>
    <row r="70" spans="1:1" ht="15" x14ac:dyDescent="0.25">
      <c r="A70" s="55"/>
    </row>
    <row r="71" spans="1:1" ht="15.6" x14ac:dyDescent="0.3">
      <c r="A71" s="56" t="s">
        <v>110</v>
      </c>
    </row>
  </sheetData>
  <phoneticPr fontId="8" type="noConversion"/>
  <pageMargins left="0.75" right="0.75" top="1" bottom="1" header="0.5" footer="0.5"/>
  <pageSetup paperSize="9" orientation="portrait" r:id="rId1"/>
  <headerFooter alignWithMargins="0">
    <oddFooter>&amp;C_x000D_&amp;1#&amp;"Calibri"&amp;10&amp;K000000 DSV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26"/>
  <sheetViews>
    <sheetView tabSelected="1" zoomScale="80" zoomScaleNormal="80" workbookViewId="0">
      <pane xSplit="1" ySplit="6" topLeftCell="B12" activePane="bottomRight" state="frozen"/>
      <selection pane="topRight" activeCell="B1" sqref="B1"/>
      <selection pane="bottomLeft" activeCell="A6" sqref="A6"/>
      <selection pane="bottomRight" activeCell="G14" sqref="G14"/>
    </sheetView>
  </sheetViews>
  <sheetFormatPr defaultRowHeight="13.2" x14ac:dyDescent="0.25"/>
  <cols>
    <col min="1" max="1" width="33.44140625" style="57" customWidth="1"/>
    <col min="2" max="2" width="47" style="110" customWidth="1"/>
    <col min="3" max="3" width="44.6640625" style="110" customWidth="1"/>
    <col min="4" max="4" width="14.44140625" style="111" bestFit="1" customWidth="1"/>
    <col min="5" max="5" width="25.6640625" style="110" customWidth="1"/>
    <col min="6" max="6" width="16.5546875" style="111" customWidth="1"/>
    <col min="7" max="7" width="14.88671875" style="112" bestFit="1" customWidth="1"/>
    <col min="8" max="8" width="31.44140625" style="111" customWidth="1"/>
    <col min="9" max="9" width="32.109375" style="111" customWidth="1"/>
    <col min="10" max="10" width="8.109375" style="111" customWidth="1"/>
    <col min="11" max="11" width="15" style="111" customWidth="1"/>
    <col min="12" max="12" width="26.77734375" style="111" customWidth="1"/>
    <col min="13" max="13" width="38.33203125" style="111" customWidth="1"/>
  </cols>
  <sheetData>
    <row r="1" spans="1:13" ht="42" x14ac:dyDescent="0.4">
      <c r="A1" s="17" t="s">
        <v>33</v>
      </c>
      <c r="B1" s="17"/>
      <c r="C1" s="8"/>
      <c r="D1"/>
      <c r="E1" s="8"/>
      <c r="F1" s="3"/>
      <c r="G1" s="96"/>
      <c r="H1" s="3"/>
      <c r="I1" s="3"/>
      <c r="J1"/>
      <c r="K1"/>
      <c r="L1" s="3"/>
      <c r="M1" s="3"/>
    </row>
    <row r="2" spans="1:13" ht="21" x14ac:dyDescent="0.4">
      <c r="A2" s="17" t="s">
        <v>34</v>
      </c>
      <c r="B2" s="17"/>
      <c r="C2" s="8"/>
      <c r="D2" s="37" t="s">
        <v>35</v>
      </c>
      <c r="E2" s="8"/>
      <c r="F2" s="35" t="s">
        <v>36</v>
      </c>
      <c r="G2" s="96"/>
      <c r="H2" s="3"/>
      <c r="I2" s="3"/>
      <c r="J2"/>
      <c r="K2"/>
      <c r="L2" s="3"/>
      <c r="M2" s="3"/>
    </row>
    <row r="3" spans="1:13" ht="21.6" thickBot="1" x14ac:dyDescent="0.45">
      <c r="A3" s="17"/>
      <c r="B3" s="17"/>
      <c r="C3" s="8"/>
      <c r="D3" s="45" t="s">
        <v>37</v>
      </c>
      <c r="E3" s="8"/>
      <c r="F3" s="35" t="s">
        <v>38</v>
      </c>
      <c r="G3" s="96"/>
      <c r="H3" s="3"/>
      <c r="I3" s="3"/>
      <c r="J3"/>
      <c r="K3"/>
      <c r="L3" s="3"/>
      <c r="M3" s="3"/>
    </row>
    <row r="4" spans="1:13" ht="21.6" thickBot="1" x14ac:dyDescent="0.45">
      <c r="A4" s="108" t="s">
        <v>103</v>
      </c>
      <c r="B4" s="109" t="s">
        <v>119</v>
      </c>
      <c r="C4" s="8"/>
      <c r="D4" s="39" t="s">
        <v>39</v>
      </c>
      <c r="E4" s="8"/>
      <c r="F4" s="3"/>
      <c r="G4" s="96"/>
      <c r="H4" s="3"/>
      <c r="I4" s="3"/>
      <c r="J4"/>
      <c r="K4"/>
      <c r="L4" s="3"/>
      <c r="M4" s="3"/>
    </row>
    <row r="5" spans="1:13" ht="27" thickBot="1" x14ac:dyDescent="0.3">
      <c r="A5" s="19" t="s">
        <v>40</v>
      </c>
      <c r="B5" s="18"/>
      <c r="C5" s="1"/>
      <c r="D5" s="40" t="s">
        <v>41</v>
      </c>
      <c r="E5" s="1"/>
      <c r="F5"/>
      <c r="G5" s="96"/>
      <c r="H5"/>
      <c r="I5"/>
      <c r="J5"/>
      <c r="K5"/>
      <c r="L5"/>
      <c r="M5"/>
    </row>
    <row r="6" spans="1:13" ht="39.6" x14ac:dyDescent="0.25">
      <c r="A6" s="83" t="s">
        <v>42</v>
      </c>
      <c r="B6" s="80" t="s">
        <v>43</v>
      </c>
      <c r="C6" s="72" t="s">
        <v>44</v>
      </c>
      <c r="D6" s="73" t="s">
        <v>45</v>
      </c>
      <c r="E6" s="72" t="s">
        <v>46</v>
      </c>
      <c r="F6" s="74" t="s">
        <v>47</v>
      </c>
      <c r="G6" s="97" t="s">
        <v>48</v>
      </c>
      <c r="H6" s="74" t="s">
        <v>49</v>
      </c>
      <c r="I6" s="74" t="s">
        <v>50</v>
      </c>
      <c r="J6" s="74" t="s">
        <v>51</v>
      </c>
      <c r="K6" s="74" t="s">
        <v>52</v>
      </c>
      <c r="L6" s="74" t="s">
        <v>53</v>
      </c>
      <c r="M6" s="75" t="s">
        <v>54</v>
      </c>
    </row>
    <row r="7" spans="1:13" ht="224.4" x14ac:dyDescent="0.25">
      <c r="A7" s="84" t="str">
        <f>_xlfn.CONCAT("UNI-",RITM,"-TEST-1DB*")</f>
        <v>UNI-EDIT0019557-TEST-1DB*</v>
      </c>
      <c r="B7" s="77" t="s">
        <v>115</v>
      </c>
      <c r="C7" s="77" t="s">
        <v>116</v>
      </c>
      <c r="D7" s="45" t="s">
        <v>37</v>
      </c>
      <c r="E7" s="77"/>
      <c r="F7" s="77" t="s">
        <v>117</v>
      </c>
      <c r="G7" s="98">
        <v>46233</v>
      </c>
      <c r="H7" s="77"/>
      <c r="I7" s="77"/>
      <c r="J7" s="82" t="s">
        <v>55</v>
      </c>
      <c r="K7" s="77"/>
      <c r="L7" s="77"/>
      <c r="M7" s="82"/>
    </row>
    <row r="8" spans="1:13" ht="39.6" x14ac:dyDescent="0.25">
      <c r="A8" s="85" t="str">
        <f t="shared" ref="A8:A26" si="0">_xlfn.CONCAT("UNI-",RITM,"-TEST-",IF(ROW()-7&lt;10,_xlfn.CONCAT("0",ROW()-7),ROW()-7),"A")</f>
        <v>UNI-EDIT0019557-TEST-01A</v>
      </c>
      <c r="B8" s="77" t="s">
        <v>56</v>
      </c>
      <c r="C8" s="82" t="s">
        <v>57</v>
      </c>
      <c r="D8" s="45" t="s">
        <v>37</v>
      </c>
      <c r="E8" s="77" t="s">
        <v>58</v>
      </c>
      <c r="F8" s="117" t="s">
        <v>117</v>
      </c>
      <c r="G8" s="98">
        <v>46233</v>
      </c>
      <c r="H8" s="77"/>
      <c r="I8" s="77"/>
      <c r="J8" s="82" t="s">
        <v>55</v>
      </c>
      <c r="K8" s="82"/>
      <c r="L8" s="82"/>
      <c r="M8" s="82"/>
    </row>
    <row r="9" spans="1:13" ht="26.4" x14ac:dyDescent="0.25">
      <c r="A9" s="85" t="str">
        <f t="shared" si="0"/>
        <v>UNI-EDIT0019557-TEST-02A</v>
      </c>
      <c r="B9" s="77" t="s">
        <v>59</v>
      </c>
      <c r="C9" s="82" t="s">
        <v>60</v>
      </c>
      <c r="D9" s="45" t="s">
        <v>37</v>
      </c>
      <c r="E9" s="77" t="s">
        <v>61</v>
      </c>
      <c r="F9" s="117" t="s">
        <v>117</v>
      </c>
      <c r="G9" s="98">
        <v>46233</v>
      </c>
      <c r="H9" s="77"/>
      <c r="I9" s="77"/>
      <c r="J9" s="82" t="s">
        <v>55</v>
      </c>
      <c r="K9" s="82"/>
      <c r="L9" s="82"/>
      <c r="M9" s="82"/>
    </row>
    <row r="10" spans="1:13" ht="66" x14ac:dyDescent="0.25">
      <c r="A10" s="85" t="str">
        <f t="shared" si="0"/>
        <v>UNI-EDIT0019557-TEST-03A</v>
      </c>
      <c r="B10" s="77" t="s">
        <v>99</v>
      </c>
      <c r="C10" s="77" t="s">
        <v>62</v>
      </c>
      <c r="D10" s="45" t="s">
        <v>37</v>
      </c>
      <c r="E10" s="77" t="s">
        <v>98</v>
      </c>
      <c r="F10" s="77" t="s">
        <v>117</v>
      </c>
      <c r="G10" s="98">
        <v>46233</v>
      </c>
      <c r="H10" s="77"/>
      <c r="I10" s="77"/>
      <c r="J10" s="82" t="s">
        <v>55</v>
      </c>
      <c r="K10" s="82"/>
      <c r="L10" s="82"/>
      <c r="M10" s="82"/>
    </row>
    <row r="11" spans="1:13" ht="66" x14ac:dyDescent="0.25">
      <c r="A11" s="85" t="str">
        <f t="shared" si="0"/>
        <v>UNI-EDIT0019557-TEST-04A</v>
      </c>
      <c r="B11" s="77" t="s">
        <v>100</v>
      </c>
      <c r="C11" s="77" t="s">
        <v>64</v>
      </c>
      <c r="D11" s="45" t="s">
        <v>37</v>
      </c>
      <c r="E11" s="77" t="s">
        <v>63</v>
      </c>
      <c r="F11" s="77" t="s">
        <v>117</v>
      </c>
      <c r="G11" s="98">
        <v>46233</v>
      </c>
      <c r="H11" s="77"/>
      <c r="I11" s="77"/>
      <c r="J11" s="82" t="s">
        <v>55</v>
      </c>
      <c r="K11" s="82"/>
      <c r="L11" s="82"/>
      <c r="M11" s="82"/>
    </row>
    <row r="12" spans="1:13" ht="39.6" x14ac:dyDescent="0.25">
      <c r="A12" s="85" t="str">
        <f t="shared" si="0"/>
        <v>UNI-EDIT0019557-TEST-05A</v>
      </c>
      <c r="B12" s="77" t="s">
        <v>101</v>
      </c>
      <c r="C12" s="77" t="s">
        <v>62</v>
      </c>
      <c r="D12" s="45" t="s">
        <v>37</v>
      </c>
      <c r="E12" s="77" t="s">
        <v>85</v>
      </c>
      <c r="F12" s="117" t="s">
        <v>117</v>
      </c>
      <c r="G12" s="98">
        <v>46233</v>
      </c>
      <c r="H12" s="77"/>
      <c r="I12" s="77"/>
      <c r="J12" s="82" t="s">
        <v>55</v>
      </c>
      <c r="K12" s="82"/>
      <c r="L12" s="82"/>
      <c r="M12" s="82"/>
    </row>
    <row r="13" spans="1:13" ht="145.19999999999999" x14ac:dyDescent="0.25">
      <c r="A13" s="85" t="str">
        <f t="shared" si="0"/>
        <v>UNI-EDIT0019557-TEST-06A</v>
      </c>
      <c r="B13" s="77" t="s">
        <v>111</v>
      </c>
      <c r="C13" s="77" t="s">
        <v>113</v>
      </c>
      <c r="D13" s="37" t="s">
        <v>35</v>
      </c>
      <c r="E13" s="77" t="s">
        <v>88</v>
      </c>
      <c r="F13" s="77" t="s">
        <v>117</v>
      </c>
      <c r="G13" s="98">
        <v>46233</v>
      </c>
      <c r="H13" s="77" t="s">
        <v>121</v>
      </c>
      <c r="I13" s="77" t="s">
        <v>122</v>
      </c>
      <c r="J13" s="82" t="s">
        <v>55</v>
      </c>
      <c r="K13" s="82"/>
      <c r="L13" s="77" t="s">
        <v>120</v>
      </c>
      <c r="M13" s="82" t="s">
        <v>125</v>
      </c>
    </row>
    <row r="14" spans="1:13" ht="132" x14ac:dyDescent="0.25">
      <c r="A14" s="85" t="str">
        <f t="shared" si="0"/>
        <v>UNI-EDIT0019557-TEST-07A</v>
      </c>
      <c r="B14" s="77" t="s">
        <v>112</v>
      </c>
      <c r="C14" s="77" t="s">
        <v>113</v>
      </c>
      <c r="D14" s="45" t="s">
        <v>37</v>
      </c>
      <c r="E14" s="77" t="s">
        <v>102</v>
      </c>
      <c r="F14" s="77" t="s">
        <v>117</v>
      </c>
      <c r="G14" s="98">
        <v>46233</v>
      </c>
      <c r="H14" s="77"/>
      <c r="I14" s="77"/>
      <c r="J14" s="82" t="s">
        <v>55</v>
      </c>
      <c r="K14" s="82"/>
      <c r="L14" s="82"/>
      <c r="M14" s="82"/>
    </row>
    <row r="15" spans="1:13" ht="145.19999999999999" x14ac:dyDescent="0.25">
      <c r="A15" s="85" t="str">
        <f t="shared" si="0"/>
        <v>UNI-EDIT0019557-TEST-08A</v>
      </c>
      <c r="B15" s="69" t="s">
        <v>123</v>
      </c>
      <c r="C15" s="69" t="s">
        <v>124</v>
      </c>
      <c r="D15" s="37" t="s">
        <v>35</v>
      </c>
      <c r="E15" s="77"/>
      <c r="F15" s="77" t="s">
        <v>117</v>
      </c>
      <c r="G15" s="98">
        <v>46233</v>
      </c>
      <c r="H15" s="77" t="s">
        <v>121</v>
      </c>
      <c r="I15" s="77" t="s">
        <v>122</v>
      </c>
      <c r="J15" s="82" t="s">
        <v>55</v>
      </c>
      <c r="K15" s="82"/>
      <c r="L15" s="77" t="s">
        <v>120</v>
      </c>
      <c r="M15" s="82" t="s">
        <v>125</v>
      </c>
    </row>
    <row r="16" spans="1:13" ht="15.6" x14ac:dyDescent="0.25">
      <c r="A16" s="85" t="str">
        <f t="shared" si="0"/>
        <v>UNI-EDIT0019557-TEST-09A</v>
      </c>
      <c r="B16" s="77"/>
      <c r="C16" s="77"/>
      <c r="D16" s="82"/>
      <c r="E16" s="77"/>
      <c r="F16" s="77"/>
      <c r="G16" s="98"/>
      <c r="H16" s="77"/>
      <c r="I16" s="77"/>
      <c r="J16" s="82"/>
      <c r="K16" s="82"/>
      <c r="L16" s="82"/>
      <c r="M16" s="82"/>
    </row>
    <row r="17" spans="1:13" ht="15.6" x14ac:dyDescent="0.25">
      <c r="A17" s="85" t="str">
        <f t="shared" si="0"/>
        <v>UNI-EDIT0019557-TEST-10A</v>
      </c>
      <c r="B17" s="77"/>
      <c r="C17" s="77"/>
      <c r="D17" s="82"/>
      <c r="E17" s="77"/>
      <c r="F17" s="77"/>
      <c r="G17" s="98"/>
      <c r="H17" s="77"/>
      <c r="I17" s="77"/>
      <c r="J17" s="82"/>
      <c r="K17" s="82"/>
      <c r="L17" s="82"/>
      <c r="M17" s="82"/>
    </row>
    <row r="18" spans="1:13" ht="15.6" x14ac:dyDescent="0.25">
      <c r="A18" s="85" t="str">
        <f t="shared" si="0"/>
        <v>UNI-EDIT0019557-TEST-11A</v>
      </c>
      <c r="B18" s="77"/>
      <c r="C18" s="77"/>
      <c r="D18" s="82"/>
      <c r="E18" s="77"/>
      <c r="F18" s="77"/>
      <c r="G18" s="98"/>
      <c r="H18" s="77"/>
      <c r="I18" s="77"/>
      <c r="J18" s="82"/>
      <c r="K18" s="82"/>
      <c r="L18" s="82"/>
      <c r="M18" s="82"/>
    </row>
    <row r="19" spans="1:13" ht="15.6" x14ac:dyDescent="0.25">
      <c r="A19" s="85" t="str">
        <f t="shared" si="0"/>
        <v>UNI-EDIT0019557-TEST-12A</v>
      </c>
      <c r="B19" s="77"/>
      <c r="C19" s="77"/>
      <c r="D19" s="82"/>
      <c r="E19" s="77"/>
      <c r="F19" s="77"/>
      <c r="G19" s="98"/>
      <c r="H19" s="77"/>
      <c r="I19" s="77"/>
      <c r="J19" s="82"/>
      <c r="K19" s="82"/>
      <c r="L19" s="82"/>
      <c r="M19" s="82"/>
    </row>
    <row r="20" spans="1:13" ht="15.6" x14ac:dyDescent="0.25">
      <c r="A20" s="85" t="str">
        <f t="shared" si="0"/>
        <v>UNI-EDIT0019557-TEST-13A</v>
      </c>
      <c r="B20" s="77"/>
      <c r="C20" s="77"/>
      <c r="D20" s="82"/>
      <c r="E20" s="77"/>
      <c r="F20" s="77"/>
      <c r="G20" s="98"/>
      <c r="H20" s="77"/>
      <c r="I20" s="77"/>
      <c r="J20" s="82"/>
      <c r="K20" s="82"/>
      <c r="L20" s="82"/>
      <c r="M20" s="82"/>
    </row>
    <row r="21" spans="1:13" ht="15.6" x14ac:dyDescent="0.25">
      <c r="A21" s="85" t="str">
        <f t="shared" si="0"/>
        <v>UNI-EDIT0019557-TEST-14A</v>
      </c>
      <c r="B21" s="77"/>
      <c r="C21" s="77"/>
      <c r="D21" s="82"/>
      <c r="E21" s="77"/>
      <c r="F21" s="77"/>
      <c r="G21" s="98"/>
      <c r="H21" s="77"/>
      <c r="I21" s="77"/>
      <c r="J21" s="82"/>
      <c r="K21" s="82"/>
      <c r="L21" s="82"/>
      <c r="M21" s="82"/>
    </row>
    <row r="22" spans="1:13" ht="15.6" x14ac:dyDescent="0.25">
      <c r="A22" s="85" t="str">
        <f t="shared" si="0"/>
        <v>UNI-EDIT0019557-TEST-15A</v>
      </c>
      <c r="B22" s="77"/>
      <c r="C22" s="77"/>
      <c r="D22" s="82"/>
      <c r="E22" s="77"/>
      <c r="F22" s="77"/>
      <c r="G22" s="98"/>
      <c r="H22" s="77"/>
      <c r="I22" s="77"/>
      <c r="J22" s="82"/>
      <c r="K22" s="82"/>
      <c r="L22" s="82"/>
      <c r="M22" s="82"/>
    </row>
    <row r="23" spans="1:13" ht="15.6" x14ac:dyDescent="0.25">
      <c r="A23" s="85" t="str">
        <f t="shared" si="0"/>
        <v>UNI-EDIT0019557-TEST-16A</v>
      </c>
      <c r="B23" s="77"/>
      <c r="C23" s="77"/>
      <c r="D23" s="82"/>
      <c r="E23" s="77"/>
      <c r="F23" s="77"/>
      <c r="G23" s="98"/>
      <c r="H23" s="77"/>
      <c r="I23" s="77"/>
      <c r="J23" s="82"/>
      <c r="K23" s="82"/>
      <c r="L23" s="82"/>
      <c r="M23" s="82"/>
    </row>
    <row r="24" spans="1:13" ht="15.6" x14ac:dyDescent="0.25">
      <c r="A24" s="85" t="str">
        <f t="shared" si="0"/>
        <v>UNI-EDIT0019557-TEST-17A</v>
      </c>
      <c r="B24" s="77"/>
      <c r="C24" s="77"/>
      <c r="D24" s="82"/>
      <c r="E24" s="77"/>
      <c r="F24" s="77"/>
      <c r="G24" s="98"/>
      <c r="H24" s="77"/>
      <c r="I24" s="77"/>
      <c r="J24" s="82"/>
      <c r="K24" s="82"/>
      <c r="L24" s="82"/>
      <c r="M24" s="82"/>
    </row>
    <row r="25" spans="1:13" ht="15.6" x14ac:dyDescent="0.25">
      <c r="A25" s="85" t="str">
        <f t="shared" si="0"/>
        <v>UNI-EDIT0019557-TEST-18A</v>
      </c>
      <c r="B25" s="77"/>
      <c r="C25" s="77"/>
      <c r="D25" s="82"/>
      <c r="E25" s="77"/>
      <c r="F25" s="77"/>
      <c r="G25" s="98"/>
      <c r="H25" s="77"/>
      <c r="I25" s="77"/>
      <c r="J25" s="82"/>
      <c r="K25" s="82"/>
      <c r="L25" s="82"/>
      <c r="M25" s="82"/>
    </row>
    <row r="26" spans="1:13" ht="15.6" x14ac:dyDescent="0.25">
      <c r="A26" s="85" t="str">
        <f t="shared" si="0"/>
        <v>UNI-EDIT0019557-TEST-19A</v>
      </c>
      <c r="B26" s="77"/>
      <c r="C26" s="77"/>
      <c r="D26" s="82"/>
      <c r="E26" s="77"/>
      <c r="F26" s="77"/>
      <c r="G26" s="98"/>
      <c r="H26" s="77"/>
      <c r="I26" s="77"/>
      <c r="J26" s="82"/>
      <c r="K26" s="82"/>
      <c r="L26" s="82"/>
      <c r="M26" s="82"/>
    </row>
  </sheetData>
  <phoneticPr fontId="8" type="noConversion"/>
  <pageMargins left="0.75" right="0.75" top="1" bottom="1" header="0.5" footer="0.5"/>
  <pageSetup paperSize="9" orientation="portrait" r:id="rId1"/>
  <headerFooter alignWithMargins="0">
    <oddFooter>&amp;C_x000D_&amp;1#&amp;"Calibri"&amp;10&amp;K000000 DSV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6"/>
  <sheetViews>
    <sheetView workbookViewId="0">
      <pane xSplit="1" ySplit="6" topLeftCell="B7" activePane="bottomRight" state="frozen"/>
      <selection pane="topRight" activeCell="B1" sqref="B1"/>
      <selection pane="bottomLeft" activeCell="A6" sqref="A6"/>
      <selection pane="bottomRight" activeCell="H7" sqref="H7"/>
    </sheetView>
  </sheetViews>
  <sheetFormatPr defaultRowHeight="13.2" x14ac:dyDescent="0.25"/>
  <cols>
    <col min="1" max="1" width="34.5546875" style="58" customWidth="1"/>
    <col min="2" max="2" width="28.44140625" style="110" customWidth="1"/>
    <col min="3" max="3" width="28.5546875" style="111" customWidth="1"/>
    <col min="4" max="4" width="11.44140625" style="111" customWidth="1"/>
    <col min="5" max="5" width="26.5546875" style="111" customWidth="1"/>
    <col min="6" max="6" width="17.109375" style="111" customWidth="1"/>
    <col min="7" max="7" width="14.88671875" style="112" bestFit="1" customWidth="1"/>
    <col min="8" max="8" width="27.109375" style="111" customWidth="1"/>
    <col min="9" max="9" width="18.6640625" style="111" customWidth="1"/>
    <col min="10" max="10" width="9.109375" style="111"/>
    <col min="11" max="11" width="16.109375" style="111" customWidth="1"/>
    <col min="12" max="12" width="14.33203125" style="111" customWidth="1"/>
    <col min="13" max="13" width="41.109375" style="111" customWidth="1"/>
    <col min="14" max="16" width="9.109375" style="51"/>
  </cols>
  <sheetData>
    <row r="1" spans="1:16" ht="21" x14ac:dyDescent="0.4">
      <c r="A1" s="5" t="s">
        <v>33</v>
      </c>
      <c r="B1" s="31"/>
      <c r="C1" s="8"/>
      <c r="D1"/>
      <c r="E1" s="8"/>
      <c r="F1" s="8"/>
      <c r="G1" s="100"/>
      <c r="H1" s="1"/>
      <c r="I1" s="8"/>
      <c r="J1" s="1"/>
      <c r="K1" s="1"/>
      <c r="L1" s="8"/>
      <c r="M1" s="8"/>
      <c r="N1"/>
      <c r="O1"/>
      <c r="P1"/>
    </row>
    <row r="2" spans="1:16" ht="21" x14ac:dyDescent="0.4">
      <c r="A2" s="9" t="s">
        <v>34</v>
      </c>
      <c r="B2" s="32"/>
      <c r="C2" s="8"/>
      <c r="D2" s="41" t="s">
        <v>35</v>
      </c>
      <c r="E2" s="8"/>
      <c r="F2" s="8"/>
      <c r="G2" s="100"/>
      <c r="H2" s="1"/>
      <c r="I2"/>
      <c r="J2" s="1"/>
      <c r="K2" s="1"/>
      <c r="L2" s="8"/>
      <c r="M2" s="8"/>
      <c r="N2"/>
      <c r="O2"/>
      <c r="P2"/>
    </row>
    <row r="3" spans="1:16" ht="21" x14ac:dyDescent="0.4">
      <c r="A3" s="17"/>
      <c r="B3" s="32" t="s">
        <v>91</v>
      </c>
      <c r="C3" s="8"/>
      <c r="D3" s="42" t="s">
        <v>65</v>
      </c>
      <c r="E3" s="8"/>
      <c r="F3" s="8"/>
      <c r="G3" s="100"/>
      <c r="H3" s="1"/>
      <c r="I3" s="8"/>
      <c r="J3" s="1"/>
      <c r="K3" s="1"/>
      <c r="L3" s="8"/>
      <c r="M3" s="8"/>
      <c r="N3"/>
      <c r="O3"/>
      <c r="P3"/>
    </row>
    <row r="4" spans="1:16" ht="26.4" x14ac:dyDescent="0.4">
      <c r="A4" s="17"/>
      <c r="B4" s="36"/>
      <c r="C4" s="8"/>
      <c r="D4" s="43" t="s">
        <v>39</v>
      </c>
      <c r="E4" s="8"/>
      <c r="F4" s="8"/>
      <c r="G4" s="100"/>
      <c r="H4" s="1"/>
      <c r="I4" s="35"/>
      <c r="J4" s="1"/>
      <c r="K4" s="1"/>
      <c r="L4" s="8"/>
      <c r="M4" s="8"/>
      <c r="N4"/>
      <c r="O4"/>
      <c r="P4"/>
    </row>
    <row r="5" spans="1:16" ht="27" thickBot="1" x14ac:dyDescent="0.3">
      <c r="A5" s="18" t="s">
        <v>40</v>
      </c>
      <c r="B5" s="33"/>
      <c r="C5" s="1"/>
      <c r="D5" s="44" t="s">
        <v>41</v>
      </c>
      <c r="E5" s="1"/>
      <c r="F5" s="1"/>
      <c r="G5" s="100"/>
      <c r="H5" s="1"/>
      <c r="I5" s="1"/>
      <c r="J5" s="1"/>
      <c r="K5" s="1"/>
      <c r="L5" s="1"/>
      <c r="M5" s="1"/>
      <c r="N5"/>
      <c r="O5"/>
      <c r="P5"/>
    </row>
    <row r="6" spans="1:16" ht="39.6" x14ac:dyDescent="0.25">
      <c r="A6" s="79" t="s">
        <v>42</v>
      </c>
      <c r="B6" s="72" t="s">
        <v>93</v>
      </c>
      <c r="C6" s="72" t="s">
        <v>44</v>
      </c>
      <c r="D6" s="80" t="s">
        <v>45</v>
      </c>
      <c r="E6" s="72" t="s">
        <v>46</v>
      </c>
      <c r="F6" s="72" t="s">
        <v>47</v>
      </c>
      <c r="G6" s="97" t="s">
        <v>48</v>
      </c>
      <c r="H6" s="72" t="s">
        <v>89</v>
      </c>
      <c r="I6" s="72" t="s">
        <v>90</v>
      </c>
      <c r="J6" s="72" t="s">
        <v>51</v>
      </c>
      <c r="K6" s="72" t="s">
        <v>52</v>
      </c>
      <c r="L6" s="72" t="s">
        <v>53</v>
      </c>
      <c r="M6" s="81" t="s">
        <v>54</v>
      </c>
      <c r="N6"/>
      <c r="O6"/>
      <c r="P6"/>
    </row>
    <row r="7" spans="1:16" s="34" customFormat="1" ht="15.6" x14ac:dyDescent="0.25">
      <c r="A7" s="76" t="str">
        <f t="shared" ref="A7:A26" si="0">_xlfn.CONCAT("INT-",RITM,"-TEST-",IF(ROW()-6&lt;10,_xlfn.CONCAT("0",ROW()-6),ROW()-6),"A")</f>
        <v>INT-EDIT0019557-TEST-01A</v>
      </c>
      <c r="B7" s="77"/>
      <c r="C7" s="77"/>
      <c r="D7" s="77"/>
      <c r="E7" s="77"/>
      <c r="F7" s="77"/>
      <c r="G7" s="98"/>
      <c r="H7" s="77"/>
      <c r="I7" s="77"/>
      <c r="J7" s="77"/>
      <c r="K7" s="78"/>
      <c r="L7" s="77"/>
      <c r="M7" s="77"/>
      <c r="N7" s="113"/>
      <c r="O7" s="113"/>
      <c r="P7" s="113"/>
    </row>
    <row r="8" spans="1:16" s="34" customFormat="1" ht="15.6" x14ac:dyDescent="0.25">
      <c r="A8" s="76" t="str">
        <f t="shared" si="0"/>
        <v>INT-EDIT0019557-TEST-02A</v>
      </c>
      <c r="B8" s="77"/>
      <c r="C8" s="77"/>
      <c r="D8" s="82"/>
      <c r="E8" s="77"/>
      <c r="F8" s="77"/>
      <c r="G8" s="98"/>
      <c r="H8" s="77"/>
      <c r="I8" s="77"/>
      <c r="J8" s="77"/>
      <c r="K8" s="77"/>
      <c r="L8" s="77"/>
      <c r="M8" s="77"/>
      <c r="N8" s="113"/>
      <c r="O8" s="113"/>
      <c r="P8" s="113"/>
    </row>
    <row r="9" spans="1:16" s="34" customFormat="1" ht="15.6" x14ac:dyDescent="0.25">
      <c r="A9" s="76" t="str">
        <f t="shared" si="0"/>
        <v>INT-EDIT0019557-TEST-03A</v>
      </c>
      <c r="B9" s="77"/>
      <c r="C9" s="77"/>
      <c r="D9" s="82"/>
      <c r="E9" s="77"/>
      <c r="F9" s="77"/>
      <c r="G9" s="98"/>
      <c r="H9" s="77"/>
      <c r="I9" s="77"/>
      <c r="J9" s="77"/>
      <c r="K9" s="77"/>
      <c r="L9" s="77"/>
      <c r="M9" s="77"/>
      <c r="N9" s="113"/>
      <c r="O9" s="113"/>
      <c r="P9" s="113"/>
    </row>
    <row r="10" spans="1:16" s="34" customFormat="1" ht="15.6" x14ac:dyDescent="0.25">
      <c r="A10" s="76" t="str">
        <f t="shared" si="0"/>
        <v>INT-EDIT0019557-TEST-04A</v>
      </c>
      <c r="B10" s="77"/>
      <c r="C10" s="77"/>
      <c r="D10" s="82"/>
      <c r="E10" s="77"/>
      <c r="F10" s="77"/>
      <c r="G10" s="98"/>
      <c r="H10" s="77"/>
      <c r="I10" s="77"/>
      <c r="J10" s="77"/>
      <c r="K10" s="77"/>
      <c r="L10" s="77"/>
      <c r="M10" s="77"/>
      <c r="N10" s="113"/>
      <c r="O10" s="113"/>
      <c r="P10" s="113"/>
    </row>
    <row r="11" spans="1:16" s="34" customFormat="1" ht="15.6" x14ac:dyDescent="0.25">
      <c r="A11" s="76" t="str">
        <f t="shared" si="0"/>
        <v>INT-EDIT0019557-TEST-05A</v>
      </c>
      <c r="B11" s="77"/>
      <c r="C11" s="77"/>
      <c r="D11" s="82"/>
      <c r="E11" s="77"/>
      <c r="F11" s="77"/>
      <c r="G11" s="98"/>
      <c r="H11" s="77"/>
      <c r="I11" s="77"/>
      <c r="J11" s="77"/>
      <c r="K11" s="77"/>
      <c r="L11" s="77"/>
      <c r="M11" s="77"/>
      <c r="N11" s="113"/>
      <c r="O11" s="113"/>
      <c r="P11" s="113"/>
    </row>
    <row r="12" spans="1:16" s="34" customFormat="1" ht="15.6" x14ac:dyDescent="0.25">
      <c r="A12" s="76" t="str">
        <f t="shared" si="0"/>
        <v>INT-EDIT0019557-TEST-06A</v>
      </c>
      <c r="B12" s="77"/>
      <c r="C12" s="77"/>
      <c r="D12" s="82"/>
      <c r="E12" s="77"/>
      <c r="F12" s="77"/>
      <c r="G12" s="98"/>
      <c r="H12" s="77"/>
      <c r="I12" s="77"/>
      <c r="J12" s="77"/>
      <c r="K12" s="77"/>
      <c r="L12" s="77"/>
      <c r="M12" s="77"/>
      <c r="N12" s="113"/>
      <c r="O12" s="113"/>
      <c r="P12" s="113"/>
    </row>
    <row r="13" spans="1:16" s="34" customFormat="1" ht="15.6" x14ac:dyDescent="0.25">
      <c r="A13" s="76" t="str">
        <f t="shared" si="0"/>
        <v>INT-EDIT0019557-TEST-07A</v>
      </c>
      <c r="B13" s="77"/>
      <c r="C13" s="77"/>
      <c r="D13" s="82"/>
      <c r="E13" s="77"/>
      <c r="F13" s="77"/>
      <c r="G13" s="98"/>
      <c r="H13" s="77"/>
      <c r="I13" s="77"/>
      <c r="J13" s="77"/>
      <c r="K13" s="77"/>
      <c r="L13" s="77"/>
      <c r="M13" s="77"/>
      <c r="N13" s="113"/>
      <c r="O13" s="113"/>
      <c r="P13" s="113"/>
    </row>
    <row r="14" spans="1:16" s="34" customFormat="1" ht="15.6" x14ac:dyDescent="0.25">
      <c r="A14" s="76" t="str">
        <f t="shared" si="0"/>
        <v>INT-EDIT0019557-TEST-08A</v>
      </c>
      <c r="B14" s="77"/>
      <c r="C14" s="77"/>
      <c r="D14" s="82"/>
      <c r="E14" s="77"/>
      <c r="F14" s="77"/>
      <c r="G14" s="98"/>
      <c r="H14" s="77"/>
      <c r="I14" s="77"/>
      <c r="J14" s="77"/>
      <c r="K14" s="77"/>
      <c r="L14" s="77"/>
      <c r="M14" s="77"/>
      <c r="N14" s="113"/>
      <c r="O14" s="113"/>
      <c r="P14" s="113"/>
    </row>
    <row r="15" spans="1:16" s="34" customFormat="1" ht="15.6" x14ac:dyDescent="0.25">
      <c r="A15" s="76" t="str">
        <f t="shared" si="0"/>
        <v>INT-EDIT0019557-TEST-09A</v>
      </c>
      <c r="B15" s="77"/>
      <c r="C15" s="77"/>
      <c r="D15" s="82"/>
      <c r="E15" s="77"/>
      <c r="F15" s="77"/>
      <c r="G15" s="98"/>
      <c r="H15" s="77"/>
      <c r="I15" s="77"/>
      <c r="J15" s="77"/>
      <c r="K15" s="77"/>
      <c r="L15" s="77"/>
      <c r="M15" s="77"/>
      <c r="N15" s="113"/>
      <c r="O15" s="113"/>
      <c r="P15" s="113"/>
    </row>
    <row r="16" spans="1:16" s="34" customFormat="1" ht="15.6" x14ac:dyDescent="0.25">
      <c r="A16" s="76" t="str">
        <f t="shared" si="0"/>
        <v>INT-EDIT0019557-TEST-10A</v>
      </c>
      <c r="B16" s="77"/>
      <c r="C16" s="77"/>
      <c r="D16" s="82"/>
      <c r="E16" s="77"/>
      <c r="F16" s="77"/>
      <c r="G16" s="98"/>
      <c r="H16" s="77"/>
      <c r="I16" s="77"/>
      <c r="J16" s="77"/>
      <c r="K16" s="77"/>
      <c r="L16" s="77"/>
      <c r="M16" s="77"/>
      <c r="N16" s="113"/>
      <c r="O16" s="113"/>
      <c r="P16" s="113"/>
    </row>
    <row r="17" spans="1:16" s="34" customFormat="1" ht="15.6" x14ac:dyDescent="0.25">
      <c r="A17" s="76" t="str">
        <f t="shared" si="0"/>
        <v>INT-EDIT0019557-TEST-11A</v>
      </c>
      <c r="B17" s="77"/>
      <c r="C17" s="77"/>
      <c r="D17" s="82"/>
      <c r="E17" s="77"/>
      <c r="F17" s="77"/>
      <c r="G17" s="98"/>
      <c r="H17" s="77"/>
      <c r="I17" s="77"/>
      <c r="J17" s="77"/>
      <c r="K17" s="77"/>
      <c r="L17" s="77"/>
      <c r="M17" s="77"/>
      <c r="N17" s="113"/>
      <c r="O17" s="113"/>
      <c r="P17" s="113"/>
    </row>
    <row r="18" spans="1:16" s="34" customFormat="1" ht="15.6" x14ac:dyDescent="0.25">
      <c r="A18" s="76" t="str">
        <f t="shared" si="0"/>
        <v>INT-EDIT0019557-TEST-12A</v>
      </c>
      <c r="B18" s="77"/>
      <c r="C18" s="77"/>
      <c r="D18" s="82"/>
      <c r="E18" s="77"/>
      <c r="F18" s="77"/>
      <c r="G18" s="98"/>
      <c r="H18" s="77"/>
      <c r="I18" s="77"/>
      <c r="J18" s="77"/>
      <c r="K18" s="77"/>
      <c r="L18" s="77"/>
      <c r="M18" s="77"/>
      <c r="N18" s="113"/>
      <c r="O18" s="113"/>
      <c r="P18" s="113"/>
    </row>
    <row r="19" spans="1:16" s="34" customFormat="1" ht="15.6" x14ac:dyDescent="0.25">
      <c r="A19" s="76" t="str">
        <f t="shared" si="0"/>
        <v>INT-EDIT0019557-TEST-13A</v>
      </c>
      <c r="B19" s="77"/>
      <c r="C19" s="77"/>
      <c r="D19" s="82"/>
      <c r="E19" s="77"/>
      <c r="F19" s="77"/>
      <c r="G19" s="98"/>
      <c r="H19" s="77"/>
      <c r="I19" s="77"/>
      <c r="J19" s="77"/>
      <c r="K19" s="77"/>
      <c r="L19" s="77"/>
      <c r="M19" s="77"/>
      <c r="N19" s="113"/>
      <c r="O19" s="113"/>
      <c r="P19" s="113"/>
    </row>
    <row r="20" spans="1:16" s="34" customFormat="1" ht="15.6" x14ac:dyDescent="0.25">
      <c r="A20" s="76" t="str">
        <f t="shared" si="0"/>
        <v>INT-EDIT0019557-TEST-14A</v>
      </c>
      <c r="B20" s="77"/>
      <c r="C20" s="77"/>
      <c r="D20" s="82"/>
      <c r="E20" s="77"/>
      <c r="F20" s="77"/>
      <c r="G20" s="98"/>
      <c r="H20" s="77"/>
      <c r="I20" s="77"/>
      <c r="J20" s="77"/>
      <c r="K20" s="77"/>
      <c r="L20" s="77"/>
      <c r="M20" s="77"/>
      <c r="N20" s="113"/>
      <c r="O20" s="113"/>
      <c r="P20" s="113"/>
    </row>
    <row r="21" spans="1:16" s="34" customFormat="1" ht="15.6" x14ac:dyDescent="0.25">
      <c r="A21" s="76" t="str">
        <f t="shared" si="0"/>
        <v>INT-EDIT0019557-TEST-15A</v>
      </c>
      <c r="B21" s="77"/>
      <c r="C21" s="77"/>
      <c r="D21" s="82"/>
      <c r="E21" s="77"/>
      <c r="F21" s="77"/>
      <c r="G21" s="98"/>
      <c r="H21" s="77"/>
      <c r="I21" s="77"/>
      <c r="J21" s="77"/>
      <c r="K21" s="77"/>
      <c r="L21" s="77"/>
      <c r="M21" s="77"/>
      <c r="N21" s="113"/>
      <c r="O21" s="113"/>
      <c r="P21" s="113"/>
    </row>
    <row r="22" spans="1:16" s="34" customFormat="1" ht="15.6" x14ac:dyDescent="0.25">
      <c r="A22" s="76" t="str">
        <f t="shared" si="0"/>
        <v>INT-EDIT0019557-TEST-16A</v>
      </c>
      <c r="B22" s="77"/>
      <c r="C22" s="77"/>
      <c r="D22" s="82"/>
      <c r="E22" s="77"/>
      <c r="F22" s="77"/>
      <c r="G22" s="98"/>
      <c r="H22" s="77"/>
      <c r="I22" s="77"/>
      <c r="J22" s="77"/>
      <c r="K22" s="77"/>
      <c r="L22" s="77"/>
      <c r="M22" s="77"/>
      <c r="N22" s="113"/>
      <c r="O22" s="113"/>
      <c r="P22" s="113"/>
    </row>
    <row r="23" spans="1:16" s="34" customFormat="1" ht="15.6" x14ac:dyDescent="0.25">
      <c r="A23" s="76" t="str">
        <f t="shared" si="0"/>
        <v>INT-EDIT0019557-TEST-17A</v>
      </c>
      <c r="B23" s="77"/>
      <c r="C23" s="77"/>
      <c r="D23" s="82"/>
      <c r="E23" s="77"/>
      <c r="F23" s="77"/>
      <c r="G23" s="98"/>
      <c r="H23" s="77"/>
      <c r="I23" s="77"/>
      <c r="J23" s="77"/>
      <c r="K23" s="77"/>
      <c r="L23" s="77"/>
      <c r="M23" s="77"/>
      <c r="N23" s="113"/>
      <c r="O23" s="113"/>
      <c r="P23" s="113"/>
    </row>
    <row r="24" spans="1:16" s="34" customFormat="1" ht="15.6" x14ac:dyDescent="0.25">
      <c r="A24" s="76" t="str">
        <f t="shared" si="0"/>
        <v>INT-EDIT0019557-TEST-18A</v>
      </c>
      <c r="B24" s="77"/>
      <c r="C24" s="77"/>
      <c r="D24" s="82"/>
      <c r="E24" s="77"/>
      <c r="F24" s="77"/>
      <c r="G24" s="98"/>
      <c r="H24" s="77"/>
      <c r="I24" s="77"/>
      <c r="J24" s="77"/>
      <c r="K24" s="77"/>
      <c r="L24" s="77"/>
      <c r="M24" s="77"/>
      <c r="N24" s="113"/>
      <c r="O24" s="113"/>
      <c r="P24" s="113"/>
    </row>
    <row r="25" spans="1:16" s="34" customFormat="1" ht="15.6" x14ac:dyDescent="0.25">
      <c r="A25" s="76" t="str">
        <f t="shared" si="0"/>
        <v>INT-EDIT0019557-TEST-19A</v>
      </c>
      <c r="B25" s="77"/>
      <c r="C25" s="77"/>
      <c r="D25" s="82"/>
      <c r="E25" s="77"/>
      <c r="F25" s="77"/>
      <c r="G25" s="98"/>
      <c r="H25" s="77"/>
      <c r="I25" s="77"/>
      <c r="J25" s="77"/>
      <c r="K25" s="77"/>
      <c r="L25" s="77"/>
      <c r="M25" s="77"/>
      <c r="N25" s="113"/>
      <c r="O25" s="113"/>
      <c r="P25" s="113"/>
    </row>
    <row r="26" spans="1:16" s="34" customFormat="1" ht="15.6" x14ac:dyDescent="0.25">
      <c r="A26" s="76" t="str">
        <f t="shared" si="0"/>
        <v>INT-EDIT0019557-TEST-20A</v>
      </c>
      <c r="B26" s="77"/>
      <c r="C26" s="77"/>
      <c r="D26" s="82"/>
      <c r="E26" s="77"/>
      <c r="F26" s="77"/>
      <c r="G26" s="98"/>
      <c r="H26" s="77"/>
      <c r="I26" s="77"/>
      <c r="J26" s="77"/>
      <c r="K26" s="77"/>
      <c r="L26" s="77"/>
      <c r="M26" s="77"/>
      <c r="N26" s="113"/>
      <c r="O26" s="113"/>
      <c r="P26" s="113"/>
    </row>
  </sheetData>
  <phoneticPr fontId="8" type="noConversion"/>
  <pageMargins left="0.75" right="0.75" top="1" bottom="1" header="0.5" footer="0.5"/>
  <pageSetup paperSize="9" orientation="portrait" r:id="rId1"/>
  <headerFooter alignWithMargins="0">
    <oddFooter>&amp;C_x000D_&amp;1#&amp;"Calibri"&amp;10&amp;K000000 DSV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6E746-67F4-44F7-AD38-40299AE680D0}">
  <dimension ref="A1:M26"/>
  <sheetViews>
    <sheetView workbookViewId="0">
      <pane xSplit="1" ySplit="6" topLeftCell="B7" activePane="bottomRight" state="frozen"/>
      <selection pane="topRight" activeCell="B1" sqref="B1"/>
      <selection pane="bottomLeft" activeCell="A6" sqref="A6"/>
      <selection pane="bottomRight" activeCell="A27" sqref="A27"/>
    </sheetView>
  </sheetViews>
  <sheetFormatPr defaultRowHeight="13.2" x14ac:dyDescent="0.25"/>
  <cols>
    <col min="1" max="1" width="34.5546875" style="58" customWidth="1"/>
    <col min="2" max="2" width="28.44140625" style="110" customWidth="1"/>
    <col min="3" max="3" width="28.5546875" style="111" customWidth="1"/>
    <col min="4" max="4" width="11.44140625" style="111" customWidth="1"/>
    <col min="5" max="5" width="26.5546875" style="111" customWidth="1"/>
    <col min="6" max="6" width="17.109375" style="111" customWidth="1"/>
    <col min="7" max="7" width="14.88671875" style="112" bestFit="1" customWidth="1"/>
    <col min="8" max="8" width="34.88671875" style="112" customWidth="1"/>
    <col min="9" max="9" width="34.88671875" style="111" customWidth="1"/>
    <col min="10" max="10" width="9.109375" style="111"/>
    <col min="11" max="11" width="16.109375" style="111" customWidth="1"/>
    <col min="12" max="12" width="14.44140625" style="111" customWidth="1"/>
    <col min="13" max="13" width="41.109375" style="111" customWidth="1"/>
  </cols>
  <sheetData>
    <row r="1" spans="1:13" ht="21" x14ac:dyDescent="0.4">
      <c r="A1" s="5" t="s">
        <v>33</v>
      </c>
      <c r="B1" s="31"/>
      <c r="C1" s="8"/>
      <c r="D1"/>
      <c r="E1" s="8"/>
      <c r="F1" s="8"/>
      <c r="G1" s="100"/>
      <c r="H1" s="100"/>
      <c r="I1" s="8"/>
      <c r="J1" s="1"/>
      <c r="K1" s="1"/>
      <c r="L1" s="8"/>
      <c r="M1" s="8"/>
    </row>
    <row r="2" spans="1:13" ht="21" x14ac:dyDescent="0.4">
      <c r="A2" s="9" t="s">
        <v>34</v>
      </c>
      <c r="B2" s="32"/>
      <c r="C2" s="8"/>
      <c r="D2" s="41" t="s">
        <v>35</v>
      </c>
      <c r="E2" s="8"/>
      <c r="F2" s="8"/>
      <c r="G2" s="100"/>
      <c r="H2" s="100"/>
      <c r="I2"/>
      <c r="J2" s="1"/>
      <c r="K2" s="1"/>
      <c r="L2" s="8"/>
      <c r="M2" s="8"/>
    </row>
    <row r="3" spans="1:13" ht="21" x14ac:dyDescent="0.4">
      <c r="A3" s="17"/>
      <c r="B3" s="32" t="s">
        <v>92</v>
      </c>
      <c r="C3" s="8"/>
      <c r="D3" s="42" t="s">
        <v>65</v>
      </c>
      <c r="E3" s="8"/>
      <c r="F3" s="8"/>
      <c r="G3" s="100"/>
      <c r="H3" s="100"/>
      <c r="I3" s="8"/>
      <c r="J3" s="1"/>
      <c r="K3" s="1"/>
      <c r="L3" s="8"/>
      <c r="M3" s="8"/>
    </row>
    <row r="4" spans="1:13" ht="26.4" x14ac:dyDescent="0.4">
      <c r="A4" s="17"/>
      <c r="B4" s="36"/>
      <c r="C4" s="8"/>
      <c r="D4" s="43" t="s">
        <v>39</v>
      </c>
      <c r="E4" s="8"/>
      <c r="F4" s="8"/>
      <c r="G4" s="100"/>
      <c r="H4" s="100"/>
      <c r="I4" s="35"/>
      <c r="J4" s="1"/>
      <c r="K4" s="1"/>
      <c r="L4" s="8"/>
      <c r="M4" s="8"/>
    </row>
    <row r="5" spans="1:13" ht="27" thickBot="1" x14ac:dyDescent="0.3">
      <c r="A5" s="18" t="s">
        <v>40</v>
      </c>
      <c r="B5" s="33"/>
      <c r="C5" s="1"/>
      <c r="D5" s="44" t="s">
        <v>41</v>
      </c>
      <c r="E5" s="1"/>
      <c r="F5" s="1"/>
      <c r="G5" s="100"/>
      <c r="H5" s="100"/>
      <c r="I5" s="1"/>
      <c r="J5" s="1"/>
      <c r="K5" s="1"/>
      <c r="L5" s="1"/>
      <c r="M5" s="1"/>
    </row>
    <row r="6" spans="1:13" ht="39.6" x14ac:dyDescent="0.25">
      <c r="A6" s="79" t="s">
        <v>42</v>
      </c>
      <c r="B6" s="72" t="s">
        <v>93</v>
      </c>
      <c r="C6" s="72" t="s">
        <v>44</v>
      </c>
      <c r="D6" s="80" t="s">
        <v>45</v>
      </c>
      <c r="E6" s="72" t="s">
        <v>46</v>
      </c>
      <c r="F6" s="72" t="s">
        <v>47</v>
      </c>
      <c r="G6" s="97" t="s">
        <v>48</v>
      </c>
      <c r="H6" s="97" t="s">
        <v>66</v>
      </c>
      <c r="I6" s="72" t="s">
        <v>67</v>
      </c>
      <c r="J6" s="72" t="s">
        <v>51</v>
      </c>
      <c r="K6" s="72" t="s">
        <v>52</v>
      </c>
      <c r="L6" s="72" t="s">
        <v>53</v>
      </c>
      <c r="M6" s="81" t="s">
        <v>54</v>
      </c>
    </row>
    <row r="7" spans="1:13" s="34" customFormat="1" ht="15.6" x14ac:dyDescent="0.25">
      <c r="A7" s="76" t="str">
        <f t="shared" ref="A7:A26" si="0">_xlfn.CONCAT("INT-",RITM,"-TEST-",IF(ROW()-6&lt;10,_xlfn.CONCAT("0",ROW()-6),ROW()-6),"A")</f>
        <v>INT-EDIT0019557-TEST-01A</v>
      </c>
      <c r="B7" s="77"/>
      <c r="C7" s="77"/>
      <c r="D7" s="77"/>
      <c r="E7" s="77"/>
      <c r="F7" s="77"/>
      <c r="G7" s="98"/>
      <c r="H7" s="98"/>
      <c r="I7" s="77"/>
      <c r="J7" s="77"/>
      <c r="K7" s="78"/>
      <c r="L7" s="77"/>
      <c r="M7" s="77"/>
    </row>
    <row r="8" spans="1:13" s="34" customFormat="1" ht="15.6" x14ac:dyDescent="0.25">
      <c r="A8" s="76" t="str">
        <f t="shared" si="0"/>
        <v>INT-EDIT0019557-TEST-02A</v>
      </c>
      <c r="B8" s="77"/>
      <c r="C8" s="77"/>
      <c r="D8" s="82"/>
      <c r="E8" s="77"/>
      <c r="F8" s="77"/>
      <c r="G8" s="98"/>
      <c r="H8" s="98"/>
      <c r="I8" s="77"/>
      <c r="J8" s="77"/>
      <c r="K8" s="77"/>
      <c r="L8" s="77"/>
      <c r="M8" s="77"/>
    </row>
    <row r="9" spans="1:13" s="34" customFormat="1" ht="15.6" x14ac:dyDescent="0.25">
      <c r="A9" s="76" t="str">
        <f t="shared" si="0"/>
        <v>INT-EDIT0019557-TEST-03A</v>
      </c>
      <c r="B9" s="77"/>
      <c r="C9" s="77"/>
      <c r="D9" s="82"/>
      <c r="E9" s="77"/>
      <c r="F9" s="77"/>
      <c r="G9" s="98"/>
      <c r="H9" s="98"/>
      <c r="I9" s="77"/>
      <c r="J9" s="77"/>
      <c r="K9" s="77"/>
      <c r="L9" s="77"/>
      <c r="M9" s="77"/>
    </row>
    <row r="10" spans="1:13" s="34" customFormat="1" ht="15.6" x14ac:dyDescent="0.25">
      <c r="A10" s="76" t="str">
        <f t="shared" si="0"/>
        <v>INT-EDIT0019557-TEST-04A</v>
      </c>
      <c r="B10" s="77"/>
      <c r="C10" s="77"/>
      <c r="D10" s="82"/>
      <c r="E10" s="77"/>
      <c r="F10" s="77"/>
      <c r="G10" s="98"/>
      <c r="H10" s="98"/>
      <c r="I10" s="77"/>
      <c r="J10" s="77"/>
      <c r="K10" s="77"/>
      <c r="L10" s="77"/>
      <c r="M10" s="77"/>
    </row>
    <row r="11" spans="1:13" s="34" customFormat="1" ht="15.6" x14ac:dyDescent="0.25">
      <c r="A11" s="76" t="str">
        <f t="shared" si="0"/>
        <v>INT-EDIT0019557-TEST-05A</v>
      </c>
      <c r="B11" s="77"/>
      <c r="C11" s="77"/>
      <c r="D11" s="82"/>
      <c r="E11" s="77"/>
      <c r="F11" s="77"/>
      <c r="G11" s="98"/>
      <c r="H11" s="98"/>
      <c r="I11" s="77"/>
      <c r="J11" s="77"/>
      <c r="K11" s="77"/>
      <c r="L11" s="77"/>
      <c r="M11" s="77"/>
    </row>
    <row r="12" spans="1:13" s="34" customFormat="1" ht="15.6" x14ac:dyDescent="0.25">
      <c r="A12" s="76" t="str">
        <f t="shared" si="0"/>
        <v>INT-EDIT0019557-TEST-06A</v>
      </c>
      <c r="B12" s="77"/>
      <c r="C12" s="77"/>
      <c r="D12" s="82"/>
      <c r="E12" s="77"/>
      <c r="F12" s="77"/>
      <c r="G12" s="98"/>
      <c r="H12" s="98"/>
      <c r="I12" s="77"/>
      <c r="J12" s="77"/>
      <c r="K12" s="77"/>
      <c r="L12" s="77"/>
      <c r="M12" s="77"/>
    </row>
    <row r="13" spans="1:13" s="34" customFormat="1" ht="15.6" x14ac:dyDescent="0.25">
      <c r="A13" s="76" t="str">
        <f t="shared" si="0"/>
        <v>INT-EDIT0019557-TEST-07A</v>
      </c>
      <c r="B13" s="77"/>
      <c r="C13" s="77"/>
      <c r="D13" s="82"/>
      <c r="E13" s="77"/>
      <c r="F13" s="77"/>
      <c r="G13" s="98"/>
      <c r="H13" s="98"/>
      <c r="I13" s="77"/>
      <c r="J13" s="77"/>
      <c r="K13" s="77"/>
      <c r="L13" s="77"/>
      <c r="M13" s="77"/>
    </row>
    <row r="14" spans="1:13" s="34" customFormat="1" ht="15.6" x14ac:dyDescent="0.25">
      <c r="A14" s="76" t="str">
        <f t="shared" si="0"/>
        <v>INT-EDIT0019557-TEST-08A</v>
      </c>
      <c r="B14" s="77"/>
      <c r="C14" s="77"/>
      <c r="D14" s="82"/>
      <c r="E14" s="77"/>
      <c r="F14" s="77"/>
      <c r="G14" s="98"/>
      <c r="H14" s="98"/>
      <c r="I14" s="77"/>
      <c r="J14" s="77"/>
      <c r="K14" s="77"/>
      <c r="L14" s="77"/>
      <c r="M14" s="77"/>
    </row>
    <row r="15" spans="1:13" s="34" customFormat="1" ht="15.6" x14ac:dyDescent="0.25">
      <c r="A15" s="76" t="str">
        <f t="shared" si="0"/>
        <v>INT-EDIT0019557-TEST-09A</v>
      </c>
      <c r="B15" s="77"/>
      <c r="C15" s="77"/>
      <c r="D15" s="82"/>
      <c r="E15" s="77"/>
      <c r="F15" s="77"/>
      <c r="G15" s="98"/>
      <c r="H15" s="98"/>
      <c r="I15" s="77"/>
      <c r="J15" s="77"/>
      <c r="K15" s="77"/>
      <c r="L15" s="77"/>
      <c r="M15" s="77"/>
    </row>
    <row r="16" spans="1:13" s="34" customFormat="1" ht="15.6" x14ac:dyDescent="0.25">
      <c r="A16" s="76" t="str">
        <f t="shared" si="0"/>
        <v>INT-EDIT0019557-TEST-10A</v>
      </c>
      <c r="B16" s="77"/>
      <c r="C16" s="77"/>
      <c r="D16" s="82"/>
      <c r="E16" s="77"/>
      <c r="F16" s="77"/>
      <c r="G16" s="98"/>
      <c r="H16" s="98"/>
      <c r="I16" s="77"/>
      <c r="J16" s="77"/>
      <c r="K16" s="77"/>
      <c r="L16" s="77"/>
      <c r="M16" s="77"/>
    </row>
    <row r="17" spans="1:13" s="34" customFormat="1" ht="15.6" x14ac:dyDescent="0.25">
      <c r="A17" s="76" t="str">
        <f t="shared" si="0"/>
        <v>INT-EDIT0019557-TEST-11A</v>
      </c>
      <c r="B17" s="77"/>
      <c r="C17" s="77"/>
      <c r="D17" s="82"/>
      <c r="E17" s="77"/>
      <c r="F17" s="77"/>
      <c r="G17" s="98"/>
      <c r="H17" s="98"/>
      <c r="I17" s="77"/>
      <c r="J17" s="77"/>
      <c r="K17" s="77"/>
      <c r="L17" s="77"/>
      <c r="M17" s="77"/>
    </row>
    <row r="18" spans="1:13" s="34" customFormat="1" ht="15.6" x14ac:dyDescent="0.25">
      <c r="A18" s="76" t="str">
        <f t="shared" si="0"/>
        <v>INT-EDIT0019557-TEST-12A</v>
      </c>
      <c r="B18" s="77"/>
      <c r="C18" s="77"/>
      <c r="D18" s="82"/>
      <c r="E18" s="77"/>
      <c r="F18" s="77"/>
      <c r="G18" s="98"/>
      <c r="H18" s="98"/>
      <c r="I18" s="77"/>
      <c r="J18" s="77"/>
      <c r="K18" s="77"/>
      <c r="L18" s="77"/>
      <c r="M18" s="77"/>
    </row>
    <row r="19" spans="1:13" s="34" customFormat="1" ht="15.6" x14ac:dyDescent="0.25">
      <c r="A19" s="76" t="str">
        <f t="shared" si="0"/>
        <v>INT-EDIT0019557-TEST-13A</v>
      </c>
      <c r="B19" s="77"/>
      <c r="C19" s="77"/>
      <c r="D19" s="82"/>
      <c r="E19" s="77"/>
      <c r="F19" s="77"/>
      <c r="G19" s="98"/>
      <c r="H19" s="98"/>
      <c r="I19" s="77"/>
      <c r="J19" s="77"/>
      <c r="K19" s="77"/>
      <c r="L19" s="77"/>
      <c r="M19" s="77"/>
    </row>
    <row r="20" spans="1:13" s="34" customFormat="1" ht="15.6" x14ac:dyDescent="0.25">
      <c r="A20" s="76" t="str">
        <f t="shared" si="0"/>
        <v>INT-EDIT0019557-TEST-14A</v>
      </c>
      <c r="B20" s="77"/>
      <c r="C20" s="77"/>
      <c r="D20" s="82"/>
      <c r="E20" s="77"/>
      <c r="F20" s="77"/>
      <c r="G20" s="98"/>
      <c r="H20" s="98"/>
      <c r="I20" s="77"/>
      <c r="J20" s="77"/>
      <c r="K20" s="77"/>
      <c r="L20" s="77"/>
      <c r="M20" s="77"/>
    </row>
    <row r="21" spans="1:13" s="34" customFormat="1" ht="15.6" x14ac:dyDescent="0.25">
      <c r="A21" s="76" t="str">
        <f t="shared" si="0"/>
        <v>INT-EDIT0019557-TEST-15A</v>
      </c>
      <c r="B21" s="77"/>
      <c r="C21" s="77"/>
      <c r="D21" s="82"/>
      <c r="E21" s="77"/>
      <c r="F21" s="77"/>
      <c r="G21" s="98"/>
      <c r="H21" s="98"/>
      <c r="I21" s="77"/>
      <c r="J21" s="77"/>
      <c r="K21" s="77"/>
      <c r="L21" s="77"/>
      <c r="M21" s="77"/>
    </row>
    <row r="22" spans="1:13" s="34" customFormat="1" ht="15.6" x14ac:dyDescent="0.25">
      <c r="A22" s="76" t="str">
        <f t="shared" si="0"/>
        <v>INT-EDIT0019557-TEST-16A</v>
      </c>
      <c r="B22" s="77"/>
      <c r="C22" s="77"/>
      <c r="D22" s="82"/>
      <c r="E22" s="77"/>
      <c r="F22" s="77"/>
      <c r="G22" s="98"/>
      <c r="H22" s="98"/>
      <c r="I22" s="77"/>
      <c r="J22" s="77"/>
      <c r="K22" s="77"/>
      <c r="L22" s="77"/>
      <c r="M22" s="77"/>
    </row>
    <row r="23" spans="1:13" s="34" customFormat="1" ht="15.6" x14ac:dyDescent="0.25">
      <c r="A23" s="76" t="str">
        <f t="shared" si="0"/>
        <v>INT-EDIT0019557-TEST-17A</v>
      </c>
      <c r="B23" s="77"/>
      <c r="C23" s="77"/>
      <c r="D23" s="82"/>
      <c r="E23" s="77"/>
      <c r="F23" s="77"/>
      <c r="G23" s="98"/>
      <c r="H23" s="98"/>
      <c r="I23" s="77"/>
      <c r="J23" s="77"/>
      <c r="K23" s="77"/>
      <c r="L23" s="77"/>
      <c r="M23" s="77"/>
    </row>
    <row r="24" spans="1:13" s="34" customFormat="1" ht="15.6" x14ac:dyDescent="0.25">
      <c r="A24" s="76" t="str">
        <f t="shared" si="0"/>
        <v>INT-EDIT0019557-TEST-18A</v>
      </c>
      <c r="B24" s="77"/>
      <c r="C24" s="77"/>
      <c r="D24" s="82"/>
      <c r="E24" s="77"/>
      <c r="F24" s="77"/>
      <c r="G24" s="98"/>
      <c r="H24" s="98"/>
      <c r="I24" s="77"/>
      <c r="J24" s="77"/>
      <c r="K24" s="77"/>
      <c r="L24" s="77"/>
      <c r="M24" s="77"/>
    </row>
    <row r="25" spans="1:13" s="34" customFormat="1" ht="15.6" x14ac:dyDescent="0.25">
      <c r="A25" s="76" t="str">
        <f t="shared" si="0"/>
        <v>INT-EDIT0019557-TEST-19A</v>
      </c>
      <c r="B25" s="77"/>
      <c r="C25" s="77"/>
      <c r="D25" s="82"/>
      <c r="E25" s="77"/>
      <c r="F25" s="77"/>
      <c r="G25" s="98"/>
      <c r="H25" s="98"/>
      <c r="I25" s="77"/>
      <c r="J25" s="77"/>
      <c r="K25" s="77"/>
      <c r="L25" s="77"/>
      <c r="M25" s="77"/>
    </row>
    <row r="26" spans="1:13" s="34" customFormat="1" ht="15.6" x14ac:dyDescent="0.25">
      <c r="A26" s="76" t="str">
        <f t="shared" si="0"/>
        <v>INT-EDIT0019557-TEST-20A</v>
      </c>
      <c r="B26" s="77"/>
      <c r="C26" s="77"/>
      <c r="D26" s="82"/>
      <c r="E26" s="77"/>
      <c r="F26" s="77"/>
      <c r="G26" s="98"/>
      <c r="H26" s="98"/>
      <c r="I26" s="77"/>
      <c r="J26" s="77"/>
      <c r="K26" s="77"/>
      <c r="L26" s="77"/>
      <c r="M26" s="77"/>
    </row>
  </sheetData>
  <pageMargins left="0.75" right="0.75" top="1" bottom="1" header="0.5" footer="0.5"/>
  <pageSetup paperSize="9" orientation="portrait" r:id="rId1"/>
  <headerFooter alignWithMargins="0">
    <oddFooter>&amp;C_x000D_&amp;1#&amp;"Calibri"&amp;10&amp;K000000 DSV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26"/>
  <sheetViews>
    <sheetView workbookViewId="0">
      <pane xSplit="1" ySplit="6" topLeftCell="B7" activePane="bottomRight" state="frozen"/>
      <selection pane="topRight" activeCell="B1" sqref="B1"/>
      <selection pane="bottomLeft" activeCell="A6" sqref="A6"/>
      <selection pane="bottomRight" activeCell="A27" sqref="A27"/>
    </sheetView>
  </sheetViews>
  <sheetFormatPr defaultColWidth="9.109375" defaultRowHeight="13.2" x14ac:dyDescent="0.25"/>
  <cols>
    <col min="1" max="1" width="35.33203125" style="58" customWidth="1"/>
    <col min="2" max="2" width="38.109375" style="110" customWidth="1"/>
    <col min="3" max="3" width="37.109375" style="110" customWidth="1"/>
    <col min="4" max="4" width="13.88671875" style="111" customWidth="1"/>
    <col min="5" max="5" width="18.5546875" style="111" customWidth="1"/>
    <col min="6" max="6" width="10.6640625" style="111" customWidth="1"/>
    <col min="7" max="7" width="14.88671875" style="112" bestFit="1" customWidth="1"/>
    <col min="8" max="8" width="31.5546875" style="111" customWidth="1"/>
    <col min="9" max="9" width="36.6640625" style="111" customWidth="1"/>
    <col min="10" max="10" width="9.109375" style="111"/>
    <col min="11" max="11" width="14.5546875" style="111" bestFit="1" customWidth="1"/>
    <col min="12" max="12" width="13.44140625" style="111" bestFit="1" customWidth="1"/>
    <col min="13" max="13" width="32" style="111" customWidth="1"/>
  </cols>
  <sheetData>
    <row r="1" spans="1:13" ht="21" x14ac:dyDescent="0.4">
      <c r="A1" s="5" t="s">
        <v>33</v>
      </c>
      <c r="B1" s="7"/>
      <c r="C1" s="8"/>
      <c r="D1"/>
      <c r="E1" s="3"/>
      <c r="F1" s="3"/>
      <c r="G1" s="96"/>
      <c r="H1" s="3"/>
      <c r="I1" s="3"/>
      <c r="J1"/>
      <c r="K1"/>
      <c r="L1" s="3"/>
      <c r="M1" s="3"/>
    </row>
    <row r="2" spans="1:13" ht="21" x14ac:dyDescent="0.4">
      <c r="A2" s="6" t="s">
        <v>34</v>
      </c>
      <c r="B2" s="10"/>
      <c r="C2" s="8"/>
      <c r="D2" s="37" t="s">
        <v>35</v>
      </c>
      <c r="E2" s="3"/>
      <c r="F2" s="3"/>
      <c r="G2" s="96"/>
      <c r="H2" s="3"/>
      <c r="I2" s="3"/>
      <c r="J2"/>
      <c r="K2"/>
      <c r="L2" s="3"/>
      <c r="M2" s="3"/>
    </row>
    <row r="3" spans="1:13" ht="21" x14ac:dyDescent="0.4">
      <c r="A3" s="16"/>
      <c r="B3" s="10"/>
      <c r="C3" s="8"/>
      <c r="D3" s="38" t="s">
        <v>65</v>
      </c>
      <c r="E3" s="3"/>
      <c r="F3" s="3"/>
      <c r="G3" s="96"/>
      <c r="H3" s="3"/>
      <c r="I3" s="3"/>
      <c r="J3"/>
      <c r="K3"/>
      <c r="L3" s="3"/>
      <c r="M3" s="3"/>
    </row>
    <row r="4" spans="1:13" ht="21" x14ac:dyDescent="0.4">
      <c r="A4" s="16"/>
      <c r="B4" s="36"/>
      <c r="C4" s="8"/>
      <c r="D4" s="39" t="s">
        <v>39</v>
      </c>
      <c r="E4" s="3"/>
      <c r="F4" s="3"/>
      <c r="G4" s="96"/>
      <c r="H4" s="3"/>
      <c r="I4" s="3"/>
      <c r="J4"/>
      <c r="K4"/>
      <c r="L4" s="3"/>
      <c r="M4" s="3"/>
    </row>
    <row r="5" spans="1:13" ht="27" thickBot="1" x14ac:dyDescent="0.3">
      <c r="A5" s="18" t="s">
        <v>40</v>
      </c>
      <c r="B5" s="11"/>
      <c r="C5" s="1"/>
      <c r="D5" s="40" t="s">
        <v>41</v>
      </c>
      <c r="E5"/>
      <c r="F5"/>
      <c r="G5" s="96"/>
      <c r="H5"/>
      <c r="I5"/>
      <c r="J5"/>
      <c r="K5"/>
      <c r="L5"/>
      <c r="M5"/>
    </row>
    <row r="6" spans="1:13" ht="39.6" x14ac:dyDescent="0.25">
      <c r="A6" s="71" t="s">
        <v>42</v>
      </c>
      <c r="B6" s="72" t="s">
        <v>43</v>
      </c>
      <c r="C6" s="72" t="s">
        <v>44</v>
      </c>
      <c r="D6" s="73" t="s">
        <v>45</v>
      </c>
      <c r="E6" s="74" t="s">
        <v>46</v>
      </c>
      <c r="F6" s="74" t="s">
        <v>47</v>
      </c>
      <c r="G6" s="97" t="s">
        <v>48</v>
      </c>
      <c r="H6" s="72" t="s">
        <v>66</v>
      </c>
      <c r="I6" s="74" t="s">
        <v>67</v>
      </c>
      <c r="J6" s="74" t="s">
        <v>51</v>
      </c>
      <c r="K6" s="74" t="s">
        <v>52</v>
      </c>
      <c r="L6" s="74" t="s">
        <v>53</v>
      </c>
      <c r="M6" s="75" t="s">
        <v>54</v>
      </c>
    </row>
    <row r="7" spans="1:13" ht="39.6" x14ac:dyDescent="0.25">
      <c r="A7" s="76" t="str">
        <f t="shared" ref="A7:A26" si="0">_xlfn.CONCAT("UAT-",RITM,"-TEST-",IF(ROW()-6&lt;10,_xlfn.CONCAT("0",ROW()-6),ROW()-6),"A")</f>
        <v>UAT-EDIT0019557-TEST-01A</v>
      </c>
      <c r="B7" s="69" t="s">
        <v>68</v>
      </c>
      <c r="C7" s="69" t="s">
        <v>68</v>
      </c>
      <c r="D7" s="82"/>
      <c r="E7" s="77"/>
      <c r="F7" s="77"/>
      <c r="G7" s="98"/>
      <c r="H7" s="77"/>
      <c r="I7" s="77"/>
      <c r="J7" s="77"/>
      <c r="K7" s="78"/>
      <c r="L7" s="77"/>
      <c r="M7" s="77"/>
    </row>
    <row r="8" spans="1:13" ht="92.4" x14ac:dyDescent="0.25">
      <c r="A8" s="76" t="str">
        <f t="shared" si="0"/>
        <v>UAT-EDIT0019557-TEST-02A</v>
      </c>
      <c r="B8" s="69" t="s">
        <v>69</v>
      </c>
      <c r="C8" s="69" t="s">
        <v>70</v>
      </c>
      <c r="D8" s="82"/>
      <c r="E8" s="77"/>
      <c r="F8" s="77"/>
      <c r="G8" s="98"/>
      <c r="H8" s="77"/>
      <c r="I8" s="77"/>
      <c r="J8" s="77"/>
      <c r="K8" s="77"/>
      <c r="L8" s="77"/>
      <c r="M8" s="77"/>
    </row>
    <row r="9" spans="1:13" ht="15.6" x14ac:dyDescent="0.25">
      <c r="A9" s="76" t="str">
        <f t="shared" si="0"/>
        <v>UAT-EDIT0019557-TEST-03A</v>
      </c>
      <c r="B9" s="69"/>
      <c r="C9" s="69"/>
      <c r="D9" s="82"/>
      <c r="E9" s="77"/>
      <c r="F9" s="77"/>
      <c r="G9" s="98"/>
      <c r="H9" s="77"/>
      <c r="I9" s="77"/>
      <c r="J9" s="77"/>
      <c r="K9" s="77"/>
      <c r="L9" s="77"/>
      <c r="M9" s="77"/>
    </row>
    <row r="10" spans="1:13" ht="15.6" x14ac:dyDescent="0.25">
      <c r="A10" s="76" t="str">
        <f t="shared" si="0"/>
        <v>UAT-EDIT0019557-TEST-04A</v>
      </c>
      <c r="B10" s="69"/>
      <c r="C10" s="69"/>
      <c r="D10" s="82"/>
      <c r="E10" s="77"/>
      <c r="F10" s="77"/>
      <c r="G10" s="98"/>
      <c r="H10" s="77"/>
      <c r="I10" s="77"/>
      <c r="J10" s="77"/>
      <c r="K10" s="77"/>
      <c r="L10" s="77"/>
      <c r="M10" s="77"/>
    </row>
    <row r="11" spans="1:13" ht="15.6" x14ac:dyDescent="0.25">
      <c r="A11" s="76" t="str">
        <f t="shared" si="0"/>
        <v>UAT-EDIT0019557-TEST-05A</v>
      </c>
      <c r="B11" s="77"/>
      <c r="C11" s="77"/>
      <c r="D11" s="82"/>
      <c r="E11" s="77"/>
      <c r="F11" s="77"/>
      <c r="G11" s="98"/>
      <c r="H11" s="77"/>
      <c r="I11" s="77"/>
      <c r="J11" s="77"/>
      <c r="K11" s="77"/>
      <c r="L11" s="77"/>
      <c r="M11" s="77"/>
    </row>
    <row r="12" spans="1:13" ht="15.6" x14ac:dyDescent="0.25">
      <c r="A12" s="76" t="str">
        <f t="shared" si="0"/>
        <v>UAT-EDIT0019557-TEST-06A</v>
      </c>
      <c r="B12" s="77"/>
      <c r="C12" s="77"/>
      <c r="D12" s="82"/>
      <c r="E12" s="77"/>
      <c r="F12" s="77"/>
      <c r="G12" s="98"/>
      <c r="H12" s="77"/>
      <c r="I12" s="77"/>
      <c r="J12" s="77"/>
      <c r="K12" s="77"/>
      <c r="L12" s="77"/>
      <c r="M12" s="77"/>
    </row>
    <row r="13" spans="1:13" ht="15.6" x14ac:dyDescent="0.25">
      <c r="A13" s="76" t="str">
        <f t="shared" si="0"/>
        <v>UAT-EDIT0019557-TEST-07A</v>
      </c>
      <c r="B13" s="77"/>
      <c r="C13" s="77"/>
      <c r="D13" s="82"/>
      <c r="E13" s="77"/>
      <c r="F13" s="77"/>
      <c r="G13" s="98"/>
      <c r="H13" s="77"/>
      <c r="I13" s="77"/>
      <c r="J13" s="77"/>
      <c r="K13" s="77"/>
      <c r="L13" s="77"/>
      <c r="M13" s="77"/>
    </row>
    <row r="14" spans="1:13" ht="15.6" x14ac:dyDescent="0.25">
      <c r="A14" s="76" t="str">
        <f t="shared" si="0"/>
        <v>UAT-EDIT0019557-TEST-08A</v>
      </c>
      <c r="B14" s="77"/>
      <c r="C14" s="77"/>
      <c r="D14" s="82"/>
      <c r="E14" s="77"/>
      <c r="F14" s="77"/>
      <c r="G14" s="98"/>
      <c r="H14" s="77"/>
      <c r="I14" s="77"/>
      <c r="J14" s="77"/>
      <c r="K14" s="77"/>
      <c r="L14" s="77"/>
      <c r="M14" s="77"/>
    </row>
    <row r="15" spans="1:13" ht="15.6" x14ac:dyDescent="0.25">
      <c r="A15" s="76" t="str">
        <f t="shared" si="0"/>
        <v>UAT-EDIT0019557-TEST-09A</v>
      </c>
      <c r="B15" s="77"/>
      <c r="C15" s="77"/>
      <c r="D15" s="82"/>
      <c r="E15" s="77"/>
      <c r="F15" s="77"/>
      <c r="G15" s="98"/>
      <c r="H15" s="77"/>
      <c r="I15" s="77"/>
      <c r="J15" s="77"/>
      <c r="K15" s="77"/>
      <c r="L15" s="77"/>
      <c r="M15" s="77"/>
    </row>
    <row r="16" spans="1:13" ht="15.6" x14ac:dyDescent="0.25">
      <c r="A16" s="76" t="str">
        <f t="shared" si="0"/>
        <v>UAT-EDIT0019557-TEST-10A</v>
      </c>
      <c r="B16" s="77"/>
      <c r="C16" s="77"/>
      <c r="D16" s="82"/>
      <c r="E16" s="77"/>
      <c r="F16" s="77"/>
      <c r="G16" s="98"/>
      <c r="H16" s="77"/>
      <c r="I16" s="77"/>
      <c r="J16" s="77"/>
      <c r="K16" s="77"/>
      <c r="L16" s="77"/>
      <c r="M16" s="77"/>
    </row>
    <row r="17" spans="1:13" ht="15.6" x14ac:dyDescent="0.25">
      <c r="A17" s="76" t="str">
        <f t="shared" si="0"/>
        <v>UAT-EDIT0019557-TEST-11A</v>
      </c>
      <c r="B17" s="77"/>
      <c r="C17" s="77"/>
      <c r="D17" s="82"/>
      <c r="E17" s="77"/>
      <c r="F17" s="77"/>
      <c r="G17" s="98"/>
      <c r="H17" s="77"/>
      <c r="I17" s="77"/>
      <c r="J17" s="77"/>
      <c r="K17" s="77"/>
      <c r="L17" s="77"/>
      <c r="M17" s="77"/>
    </row>
    <row r="18" spans="1:13" ht="15.6" x14ac:dyDescent="0.25">
      <c r="A18" s="76" t="str">
        <f t="shared" si="0"/>
        <v>UAT-EDIT0019557-TEST-12A</v>
      </c>
      <c r="B18" s="77"/>
      <c r="C18" s="77"/>
      <c r="D18" s="82"/>
      <c r="E18" s="77"/>
      <c r="F18" s="77"/>
      <c r="G18" s="98"/>
      <c r="H18" s="77"/>
      <c r="I18" s="77"/>
      <c r="J18" s="77"/>
      <c r="K18" s="77"/>
      <c r="L18" s="77"/>
      <c r="M18" s="77"/>
    </row>
    <row r="19" spans="1:13" ht="15.6" x14ac:dyDescent="0.25">
      <c r="A19" s="76" t="str">
        <f t="shared" si="0"/>
        <v>UAT-EDIT0019557-TEST-13A</v>
      </c>
      <c r="B19" s="77"/>
      <c r="C19" s="77"/>
      <c r="D19" s="82"/>
      <c r="E19" s="77"/>
      <c r="F19" s="77"/>
      <c r="G19" s="98"/>
      <c r="H19" s="77"/>
      <c r="I19" s="77"/>
      <c r="J19" s="77"/>
      <c r="K19" s="77"/>
      <c r="L19" s="77"/>
      <c r="M19" s="77"/>
    </row>
    <row r="20" spans="1:13" ht="15.6" x14ac:dyDescent="0.25">
      <c r="A20" s="76" t="str">
        <f t="shared" si="0"/>
        <v>UAT-EDIT0019557-TEST-14A</v>
      </c>
      <c r="B20" s="77"/>
      <c r="C20" s="77"/>
      <c r="D20" s="82"/>
      <c r="E20" s="77"/>
      <c r="F20" s="77"/>
      <c r="G20" s="98"/>
      <c r="H20" s="77"/>
      <c r="I20" s="77"/>
      <c r="J20" s="77"/>
      <c r="K20" s="77"/>
      <c r="L20" s="77"/>
      <c r="M20" s="77"/>
    </row>
    <row r="21" spans="1:13" ht="15.6" x14ac:dyDescent="0.25">
      <c r="A21" s="76" t="str">
        <f t="shared" si="0"/>
        <v>UAT-EDIT0019557-TEST-15A</v>
      </c>
      <c r="B21" s="77"/>
      <c r="C21" s="77"/>
      <c r="D21" s="82"/>
      <c r="E21" s="77"/>
      <c r="F21" s="77"/>
      <c r="G21" s="98"/>
      <c r="H21" s="77"/>
      <c r="I21" s="77"/>
      <c r="J21" s="77"/>
      <c r="K21" s="77"/>
      <c r="L21" s="77"/>
      <c r="M21" s="77"/>
    </row>
    <row r="22" spans="1:13" ht="15.6" x14ac:dyDescent="0.25">
      <c r="A22" s="76" t="str">
        <f t="shared" si="0"/>
        <v>UAT-EDIT0019557-TEST-16A</v>
      </c>
      <c r="B22" s="77"/>
      <c r="C22" s="77"/>
      <c r="D22" s="82"/>
      <c r="E22" s="77"/>
      <c r="F22" s="77"/>
      <c r="G22" s="98"/>
      <c r="H22" s="77"/>
      <c r="I22" s="77"/>
      <c r="J22" s="77"/>
      <c r="K22" s="77"/>
      <c r="L22" s="77"/>
      <c r="M22" s="77"/>
    </row>
    <row r="23" spans="1:13" ht="15.6" x14ac:dyDescent="0.25">
      <c r="A23" s="76" t="str">
        <f t="shared" si="0"/>
        <v>UAT-EDIT0019557-TEST-17A</v>
      </c>
      <c r="B23" s="77"/>
      <c r="C23" s="77"/>
      <c r="D23" s="82"/>
      <c r="E23" s="77"/>
      <c r="F23" s="77"/>
      <c r="G23" s="98"/>
      <c r="H23" s="77"/>
      <c r="I23" s="77"/>
      <c r="J23" s="77"/>
      <c r="K23" s="77"/>
      <c r="L23" s="77"/>
      <c r="M23" s="77"/>
    </row>
    <row r="24" spans="1:13" ht="15.6" x14ac:dyDescent="0.25">
      <c r="A24" s="76" t="str">
        <f t="shared" si="0"/>
        <v>UAT-EDIT0019557-TEST-18A</v>
      </c>
      <c r="B24" s="77"/>
      <c r="C24" s="77"/>
      <c r="D24" s="82"/>
      <c r="E24" s="77"/>
      <c r="F24" s="77"/>
      <c r="G24" s="98"/>
      <c r="H24" s="77"/>
      <c r="I24" s="77"/>
      <c r="J24" s="77"/>
      <c r="K24" s="77"/>
      <c r="L24" s="77"/>
      <c r="M24" s="77"/>
    </row>
    <row r="25" spans="1:13" ht="15.6" x14ac:dyDescent="0.25">
      <c r="A25" s="76" t="str">
        <f t="shared" si="0"/>
        <v>UAT-EDIT0019557-TEST-19A</v>
      </c>
      <c r="B25" s="77"/>
      <c r="C25" s="77"/>
      <c r="D25" s="82"/>
      <c r="E25" s="77"/>
      <c r="F25" s="77"/>
      <c r="G25" s="98"/>
      <c r="H25" s="77"/>
      <c r="I25" s="77"/>
      <c r="J25" s="77"/>
      <c r="K25" s="77"/>
      <c r="L25" s="77"/>
      <c r="M25" s="77"/>
    </row>
    <row r="26" spans="1:13" ht="15.6" x14ac:dyDescent="0.25">
      <c r="A26" s="76" t="str">
        <f t="shared" si="0"/>
        <v>UAT-EDIT0019557-TEST-20A</v>
      </c>
      <c r="B26" s="77"/>
      <c r="C26" s="77"/>
      <c r="D26" s="82"/>
      <c r="E26" s="77"/>
      <c r="F26" s="77"/>
      <c r="G26" s="98"/>
      <c r="H26" s="77"/>
      <c r="I26" s="77"/>
      <c r="J26" s="77"/>
      <c r="K26" s="77"/>
      <c r="L26" s="77"/>
      <c r="M26" s="77"/>
    </row>
  </sheetData>
  <phoneticPr fontId="8" type="noConversion"/>
  <pageMargins left="0.75" right="0.75" top="1" bottom="1" header="0.5" footer="0.5"/>
  <pageSetup paperSize="9" orientation="portrait" verticalDpi="597" r:id="rId1"/>
  <headerFooter alignWithMargins="0">
    <oddFooter>&amp;C_x000D_&amp;1#&amp;"Calibri"&amp;10&amp;K000000 DSV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53"/>
  <sheetViews>
    <sheetView workbookViewId="0">
      <selection activeCell="A12" sqref="A12"/>
    </sheetView>
  </sheetViews>
  <sheetFormatPr defaultColWidth="9.109375" defaultRowHeight="13.2" x14ac:dyDescent="0.25"/>
  <cols>
    <col min="1" max="1" width="33.44140625" style="93" customWidth="1"/>
    <col min="2" max="2" width="33.5546875" style="93" customWidth="1"/>
    <col min="3" max="3" width="25.5546875" style="93" customWidth="1"/>
    <col min="4" max="4" width="13.88671875" style="93" customWidth="1"/>
    <col min="5" max="5" width="18.5546875" style="93" customWidth="1"/>
    <col min="6" max="6" width="10.6640625" style="93" customWidth="1"/>
    <col min="7" max="7" width="14.88671875" style="116" bestFit="1" customWidth="1"/>
    <col min="8" max="8" width="15.5546875" style="93" customWidth="1"/>
    <col min="9" max="9" width="20.5546875" style="93" bestFit="1" customWidth="1"/>
    <col min="10" max="10" width="21.5546875" style="93" bestFit="1" customWidth="1"/>
    <col min="11" max="11" width="9.109375" style="93"/>
    <col min="12" max="12" width="14.5546875" style="93" bestFit="1" customWidth="1"/>
    <col min="13" max="13" width="13.44140625" style="93" bestFit="1" customWidth="1"/>
    <col min="14" max="14" width="12" style="93" bestFit="1" customWidth="1"/>
    <col min="15" max="16384" width="9.109375" style="23"/>
  </cols>
  <sheetData>
    <row r="1" spans="1:14" ht="21" x14ac:dyDescent="0.4">
      <c r="A1" s="20" t="s">
        <v>33</v>
      </c>
      <c r="B1" s="21"/>
      <c r="C1" s="22"/>
      <c r="D1" s="23"/>
      <c r="E1" s="24"/>
      <c r="F1" s="24"/>
      <c r="G1" s="101"/>
      <c r="H1" s="24"/>
      <c r="I1" s="24"/>
      <c r="J1" s="24"/>
      <c r="K1" s="23"/>
      <c r="L1" s="23"/>
      <c r="M1" s="24"/>
      <c r="N1" s="24"/>
    </row>
    <row r="2" spans="1:14" ht="21" x14ac:dyDescent="0.4">
      <c r="A2" s="25" t="s">
        <v>34</v>
      </c>
      <c r="B2" s="26"/>
      <c r="C2" s="22"/>
      <c r="D2" s="46" t="s">
        <v>35</v>
      </c>
      <c r="E2" s="24"/>
      <c r="F2" s="24"/>
      <c r="G2" s="101"/>
      <c r="H2" s="24"/>
      <c r="I2" s="24"/>
      <c r="J2" s="24"/>
      <c r="K2" s="23"/>
      <c r="L2" s="23"/>
      <c r="M2" s="24"/>
      <c r="N2" s="24"/>
    </row>
    <row r="3" spans="1:14" ht="21" x14ac:dyDescent="0.4">
      <c r="A3" s="27"/>
      <c r="B3" s="26"/>
      <c r="C3" s="22"/>
      <c r="D3" s="47" t="s">
        <v>65</v>
      </c>
      <c r="E3" s="24"/>
      <c r="F3" s="24"/>
      <c r="G3" s="101"/>
      <c r="H3" s="24"/>
      <c r="I3" s="24"/>
      <c r="J3" s="24"/>
      <c r="K3" s="23"/>
      <c r="L3" s="23"/>
      <c r="M3" s="24"/>
      <c r="N3" s="24"/>
    </row>
    <row r="4" spans="1:14" ht="21" x14ac:dyDescent="0.4">
      <c r="A4" s="27"/>
      <c r="B4" s="26"/>
      <c r="C4" s="22"/>
      <c r="D4" s="48" t="s">
        <v>39</v>
      </c>
      <c r="E4" s="24"/>
      <c r="F4" s="24"/>
      <c r="G4" s="101"/>
      <c r="H4" s="24"/>
      <c r="I4" s="24"/>
      <c r="J4" s="24"/>
      <c r="K4" s="23"/>
      <c r="L4" s="23"/>
      <c r="M4" s="24"/>
      <c r="N4" s="24"/>
    </row>
    <row r="5" spans="1:14" ht="27" thickBot="1" x14ac:dyDescent="0.3">
      <c r="A5" s="28" t="s">
        <v>40</v>
      </c>
      <c r="B5" s="29"/>
      <c r="C5" s="30"/>
      <c r="D5" s="49" t="s">
        <v>41</v>
      </c>
      <c r="E5" s="23"/>
      <c r="F5" s="23"/>
      <c r="G5" s="101"/>
      <c r="H5" s="23"/>
      <c r="I5" s="23"/>
      <c r="J5" s="23"/>
      <c r="K5" s="23"/>
      <c r="L5" s="23"/>
      <c r="M5" s="23"/>
      <c r="N5" s="23"/>
    </row>
    <row r="6" spans="1:14" ht="39.6" x14ac:dyDescent="0.25">
      <c r="A6" s="63" t="s">
        <v>42</v>
      </c>
      <c r="B6" s="64" t="s">
        <v>43</v>
      </c>
      <c r="C6" s="64" t="s">
        <v>44</v>
      </c>
      <c r="D6" s="65" t="s">
        <v>45</v>
      </c>
      <c r="E6" s="66" t="s">
        <v>46</v>
      </c>
      <c r="F6" s="66" t="s">
        <v>47</v>
      </c>
      <c r="G6" s="97" t="s">
        <v>48</v>
      </c>
      <c r="H6" s="64" t="s">
        <v>66</v>
      </c>
      <c r="I6" s="66" t="s">
        <v>71</v>
      </c>
      <c r="J6" s="66" t="s">
        <v>72</v>
      </c>
      <c r="K6" s="66" t="s">
        <v>51</v>
      </c>
      <c r="L6" s="66" t="s">
        <v>52</v>
      </c>
      <c r="M6" s="66" t="s">
        <v>53</v>
      </c>
      <c r="N6" s="67" t="s">
        <v>54</v>
      </c>
    </row>
    <row r="7" spans="1:14" ht="15.6" x14ac:dyDescent="0.25">
      <c r="A7" s="68" t="str">
        <f t="shared" ref="A7:A26" si="0">_xlfn.CONCAT("RGR-",RITM,"-TEST-",IF(ROW()-6&lt;10,_xlfn.CONCAT("0",ROW()-6),ROW()-6),"A")</f>
        <v>RGR-EDIT0019557-TEST-01A</v>
      </c>
      <c r="B7" s="69"/>
      <c r="C7" s="69"/>
      <c r="D7" s="114"/>
      <c r="E7" s="69"/>
      <c r="F7" s="69"/>
      <c r="G7" s="102"/>
      <c r="H7" s="69"/>
      <c r="I7" s="69"/>
      <c r="J7" s="69"/>
      <c r="K7" s="69"/>
      <c r="L7" s="70"/>
      <c r="M7" s="69"/>
      <c r="N7" s="69"/>
    </row>
    <row r="8" spans="1:14" ht="15.6" x14ac:dyDescent="0.25">
      <c r="A8" s="68" t="str">
        <f t="shared" si="0"/>
        <v>RGR-EDIT0019557-TEST-02A</v>
      </c>
      <c r="B8" s="69"/>
      <c r="C8" s="69"/>
      <c r="D8" s="114"/>
      <c r="E8" s="69"/>
      <c r="F8" s="69"/>
      <c r="G8" s="102"/>
      <c r="H8" s="69"/>
      <c r="I8" s="69"/>
      <c r="J8" s="69"/>
      <c r="K8" s="69"/>
      <c r="L8" s="69"/>
      <c r="M8" s="69"/>
      <c r="N8" s="69"/>
    </row>
    <row r="9" spans="1:14" ht="15.6" x14ac:dyDescent="0.25">
      <c r="A9" s="68" t="str">
        <f t="shared" si="0"/>
        <v>RGR-EDIT0019557-TEST-03A</v>
      </c>
      <c r="B9" s="69"/>
      <c r="C9" s="69"/>
      <c r="D9" s="114"/>
      <c r="E9" s="69"/>
      <c r="F9" s="69"/>
      <c r="G9" s="102"/>
      <c r="H9" s="69"/>
      <c r="I9" s="69"/>
      <c r="J9" s="69"/>
      <c r="K9" s="69"/>
      <c r="L9" s="69"/>
      <c r="M9" s="69"/>
      <c r="N9" s="69"/>
    </row>
    <row r="10" spans="1:14" ht="15.6" x14ac:dyDescent="0.25">
      <c r="A10" s="68" t="str">
        <f t="shared" si="0"/>
        <v>RGR-EDIT0019557-TEST-04A</v>
      </c>
      <c r="B10" s="69"/>
      <c r="C10" s="69"/>
      <c r="D10" s="114"/>
      <c r="E10" s="69"/>
      <c r="F10" s="69"/>
      <c r="G10" s="102"/>
      <c r="H10" s="69"/>
      <c r="I10" s="69"/>
      <c r="J10" s="69"/>
      <c r="K10" s="69"/>
      <c r="L10" s="69"/>
      <c r="M10" s="69"/>
      <c r="N10" s="69"/>
    </row>
    <row r="11" spans="1:14" ht="15.6" x14ac:dyDescent="0.25">
      <c r="A11" s="68" t="str">
        <f t="shared" si="0"/>
        <v>RGR-EDIT0019557-TEST-05A</v>
      </c>
      <c r="B11" s="69"/>
      <c r="C11" s="69"/>
      <c r="D11" s="114"/>
      <c r="E11" s="69"/>
      <c r="F11" s="69"/>
      <c r="G11" s="102"/>
      <c r="H11" s="69"/>
      <c r="I11" s="69"/>
      <c r="J11" s="69"/>
      <c r="K11" s="69"/>
      <c r="L11" s="69"/>
      <c r="M11" s="69"/>
      <c r="N11" s="69"/>
    </row>
    <row r="12" spans="1:14" ht="15.6" x14ac:dyDescent="0.25">
      <c r="A12" s="68" t="str">
        <f>_xlfn.CONCAT("RGR-",RITM,"-TEST-",IF(ROW()-6&lt;10,_xlfn.CONCAT("0",ROW()-6),ROW()-6),"A")</f>
        <v>RGR-EDIT0019557-TEST-06A</v>
      </c>
      <c r="B12" s="69"/>
      <c r="C12" s="69"/>
      <c r="D12" s="114"/>
      <c r="E12" s="69"/>
      <c r="F12" s="69"/>
      <c r="G12" s="102"/>
      <c r="H12" s="69"/>
      <c r="I12" s="69"/>
      <c r="J12" s="69"/>
      <c r="K12" s="69"/>
      <c r="L12" s="69"/>
      <c r="M12" s="69"/>
      <c r="N12" s="69"/>
    </row>
    <row r="13" spans="1:14" ht="15.6" x14ac:dyDescent="0.25">
      <c r="A13" s="68" t="str">
        <f t="shared" si="0"/>
        <v>RGR-EDIT0019557-TEST-07A</v>
      </c>
      <c r="B13" s="69"/>
      <c r="C13" s="69"/>
      <c r="D13" s="114"/>
      <c r="E13" s="69"/>
      <c r="F13" s="69"/>
      <c r="G13" s="102"/>
      <c r="H13" s="69"/>
      <c r="I13" s="69"/>
      <c r="J13" s="69"/>
      <c r="K13" s="69"/>
      <c r="L13" s="69"/>
      <c r="M13" s="69"/>
      <c r="N13" s="69"/>
    </row>
    <row r="14" spans="1:14" ht="15.6" x14ac:dyDescent="0.25">
      <c r="A14" s="68" t="str">
        <f t="shared" si="0"/>
        <v>RGR-EDIT0019557-TEST-08A</v>
      </c>
      <c r="B14" s="69"/>
      <c r="C14" s="69"/>
      <c r="D14" s="114"/>
      <c r="E14" s="69"/>
      <c r="F14" s="69"/>
      <c r="G14" s="102"/>
      <c r="H14" s="69"/>
      <c r="I14" s="69"/>
      <c r="J14" s="69"/>
      <c r="K14" s="69"/>
      <c r="L14" s="69"/>
      <c r="M14" s="69"/>
      <c r="N14" s="69"/>
    </row>
    <row r="15" spans="1:14" ht="15.6" x14ac:dyDescent="0.25">
      <c r="A15" s="68" t="str">
        <f t="shared" si="0"/>
        <v>RGR-EDIT0019557-TEST-09A</v>
      </c>
      <c r="B15" s="69"/>
      <c r="C15" s="69"/>
      <c r="D15" s="114"/>
      <c r="E15" s="69"/>
      <c r="F15" s="69"/>
      <c r="G15" s="102"/>
      <c r="H15" s="69"/>
      <c r="I15" s="69"/>
      <c r="J15" s="69"/>
      <c r="K15" s="69"/>
      <c r="L15" s="69"/>
      <c r="M15" s="69"/>
      <c r="N15" s="69"/>
    </row>
    <row r="16" spans="1:14" ht="15.6" x14ac:dyDescent="0.25">
      <c r="A16" s="68" t="str">
        <f t="shared" si="0"/>
        <v>RGR-EDIT0019557-TEST-10A</v>
      </c>
      <c r="B16" s="69"/>
      <c r="C16" s="69"/>
      <c r="D16" s="114"/>
      <c r="E16" s="69"/>
      <c r="F16" s="69"/>
      <c r="G16" s="102"/>
      <c r="H16" s="69"/>
      <c r="I16" s="69"/>
      <c r="J16" s="69"/>
      <c r="K16" s="69"/>
      <c r="L16" s="69"/>
      <c r="M16" s="69"/>
      <c r="N16" s="69"/>
    </row>
    <row r="17" spans="1:14" ht="15.6" x14ac:dyDescent="0.25">
      <c r="A17" s="68" t="str">
        <f t="shared" si="0"/>
        <v>RGR-EDIT0019557-TEST-11A</v>
      </c>
      <c r="B17" s="69"/>
      <c r="C17" s="69"/>
      <c r="D17" s="114"/>
      <c r="E17" s="69"/>
      <c r="F17" s="69"/>
      <c r="G17" s="102"/>
      <c r="H17" s="69"/>
      <c r="I17" s="69"/>
      <c r="J17" s="69"/>
      <c r="K17" s="69"/>
      <c r="L17" s="69"/>
      <c r="M17" s="69"/>
      <c r="N17" s="69"/>
    </row>
    <row r="18" spans="1:14" ht="15.6" x14ac:dyDescent="0.25">
      <c r="A18" s="68" t="str">
        <f t="shared" si="0"/>
        <v>RGR-EDIT0019557-TEST-12A</v>
      </c>
      <c r="B18" s="69"/>
      <c r="C18" s="69"/>
      <c r="D18" s="114"/>
      <c r="E18" s="69"/>
      <c r="F18" s="69"/>
      <c r="G18" s="102"/>
      <c r="H18" s="69"/>
      <c r="I18" s="69"/>
      <c r="J18" s="69"/>
      <c r="K18" s="69"/>
      <c r="L18" s="69"/>
      <c r="M18" s="69"/>
      <c r="N18" s="69"/>
    </row>
    <row r="19" spans="1:14" ht="15.6" x14ac:dyDescent="0.25">
      <c r="A19" s="68" t="str">
        <f t="shared" si="0"/>
        <v>RGR-EDIT0019557-TEST-13A</v>
      </c>
      <c r="B19" s="69"/>
      <c r="C19" s="69"/>
      <c r="D19" s="114"/>
      <c r="E19" s="69"/>
      <c r="F19" s="69"/>
      <c r="G19" s="102"/>
      <c r="H19" s="69"/>
      <c r="I19" s="69"/>
      <c r="J19" s="69"/>
      <c r="K19" s="69"/>
      <c r="L19" s="69"/>
      <c r="M19" s="69"/>
      <c r="N19" s="69"/>
    </row>
    <row r="20" spans="1:14" ht="15.6" x14ac:dyDescent="0.25">
      <c r="A20" s="68" t="str">
        <f t="shared" si="0"/>
        <v>RGR-EDIT0019557-TEST-14A</v>
      </c>
      <c r="B20" s="69"/>
      <c r="C20" s="69"/>
      <c r="D20" s="114"/>
      <c r="E20" s="69"/>
      <c r="F20" s="69"/>
      <c r="G20" s="102"/>
      <c r="H20" s="69"/>
      <c r="I20" s="69"/>
      <c r="J20" s="69"/>
      <c r="K20" s="69"/>
      <c r="L20" s="69"/>
      <c r="M20" s="69"/>
      <c r="N20" s="69"/>
    </row>
    <row r="21" spans="1:14" ht="15.6" x14ac:dyDescent="0.25">
      <c r="A21" s="68" t="str">
        <f t="shared" si="0"/>
        <v>RGR-EDIT0019557-TEST-15A</v>
      </c>
      <c r="B21" s="69"/>
      <c r="C21" s="69"/>
      <c r="D21" s="114"/>
      <c r="E21" s="69"/>
      <c r="F21" s="69"/>
      <c r="G21" s="102"/>
      <c r="H21" s="69"/>
      <c r="I21" s="69"/>
      <c r="J21" s="69"/>
      <c r="K21" s="69"/>
      <c r="L21" s="69"/>
      <c r="M21" s="69"/>
      <c r="N21" s="69"/>
    </row>
    <row r="22" spans="1:14" ht="15.6" x14ac:dyDescent="0.25">
      <c r="A22" s="68" t="str">
        <f t="shared" si="0"/>
        <v>RGR-EDIT0019557-TEST-16A</v>
      </c>
      <c r="B22" s="69"/>
      <c r="C22" s="69"/>
      <c r="D22" s="114"/>
      <c r="E22" s="69"/>
      <c r="F22" s="69"/>
      <c r="G22" s="102"/>
      <c r="H22" s="69"/>
      <c r="I22" s="69"/>
      <c r="J22" s="69"/>
      <c r="K22" s="69"/>
      <c r="L22" s="69"/>
      <c r="M22" s="69"/>
      <c r="N22" s="69"/>
    </row>
    <row r="23" spans="1:14" ht="15.6" x14ac:dyDescent="0.25">
      <c r="A23" s="68" t="str">
        <f t="shared" si="0"/>
        <v>RGR-EDIT0019557-TEST-17A</v>
      </c>
      <c r="B23" s="69"/>
      <c r="C23" s="69"/>
      <c r="D23" s="114"/>
      <c r="E23" s="69"/>
      <c r="F23" s="69"/>
      <c r="G23" s="102"/>
      <c r="H23" s="69"/>
      <c r="I23" s="69"/>
      <c r="J23" s="69"/>
      <c r="K23" s="69"/>
      <c r="L23" s="69"/>
      <c r="M23" s="69"/>
      <c r="N23" s="69"/>
    </row>
    <row r="24" spans="1:14" ht="15.6" x14ac:dyDescent="0.25">
      <c r="A24" s="68" t="str">
        <f t="shared" si="0"/>
        <v>RGR-EDIT0019557-TEST-18A</v>
      </c>
      <c r="B24" s="69"/>
      <c r="C24" s="69"/>
      <c r="D24" s="114"/>
      <c r="E24" s="69"/>
      <c r="F24" s="69"/>
      <c r="G24" s="102"/>
      <c r="H24" s="69"/>
      <c r="I24" s="69"/>
      <c r="J24" s="69"/>
      <c r="K24" s="69"/>
      <c r="L24" s="69"/>
      <c r="M24" s="69"/>
      <c r="N24" s="69"/>
    </row>
    <row r="25" spans="1:14" ht="15.6" x14ac:dyDescent="0.25">
      <c r="A25" s="68" t="str">
        <f t="shared" si="0"/>
        <v>RGR-EDIT0019557-TEST-19A</v>
      </c>
      <c r="B25" s="69"/>
      <c r="C25" s="69"/>
      <c r="D25" s="114"/>
      <c r="E25" s="69"/>
      <c r="F25" s="69"/>
      <c r="G25" s="102"/>
      <c r="H25" s="69"/>
      <c r="I25" s="69"/>
      <c r="J25" s="69"/>
      <c r="K25" s="69"/>
      <c r="L25" s="69"/>
      <c r="M25" s="69"/>
      <c r="N25" s="69"/>
    </row>
    <row r="26" spans="1:14" ht="15.6" x14ac:dyDescent="0.25">
      <c r="A26" s="68" t="str">
        <f t="shared" si="0"/>
        <v>RGR-EDIT0019557-TEST-20A</v>
      </c>
      <c r="B26" s="69"/>
      <c r="C26" s="69"/>
      <c r="D26" s="114"/>
      <c r="E26" s="69"/>
      <c r="F26" s="69"/>
      <c r="G26" s="102"/>
      <c r="H26" s="69"/>
      <c r="I26" s="69"/>
      <c r="J26" s="69"/>
      <c r="K26" s="69"/>
      <c r="L26" s="69"/>
      <c r="M26" s="69"/>
      <c r="N26" s="69"/>
    </row>
    <row r="27" spans="1:14" x14ac:dyDescent="0.25">
      <c r="B27" s="115"/>
      <c r="C27" s="115"/>
    </row>
    <row r="28" spans="1:14" x14ac:dyDescent="0.25">
      <c r="B28" s="115"/>
      <c r="C28" s="115"/>
    </row>
    <row r="29" spans="1:14" x14ac:dyDescent="0.25">
      <c r="B29" s="115"/>
      <c r="C29" s="115"/>
    </row>
    <row r="30" spans="1:14" x14ac:dyDescent="0.25">
      <c r="B30" s="115"/>
      <c r="C30" s="115"/>
    </row>
    <row r="31" spans="1:14" x14ac:dyDescent="0.25">
      <c r="B31" s="115"/>
      <c r="C31" s="115"/>
    </row>
    <row r="32" spans="1:14" x14ac:dyDescent="0.25">
      <c r="B32" s="115"/>
      <c r="C32" s="115"/>
    </row>
    <row r="33" spans="2:3" x14ac:dyDescent="0.25">
      <c r="B33" s="115"/>
      <c r="C33" s="115"/>
    </row>
    <row r="34" spans="2:3" x14ac:dyDescent="0.25">
      <c r="B34" s="115"/>
      <c r="C34" s="115"/>
    </row>
    <row r="35" spans="2:3" x14ac:dyDescent="0.25">
      <c r="B35" s="115"/>
      <c r="C35" s="115"/>
    </row>
    <row r="36" spans="2:3" x14ac:dyDescent="0.25">
      <c r="B36" s="115"/>
      <c r="C36" s="115"/>
    </row>
    <row r="37" spans="2:3" x14ac:dyDescent="0.25">
      <c r="B37" s="115"/>
      <c r="C37" s="115"/>
    </row>
    <row r="38" spans="2:3" x14ac:dyDescent="0.25">
      <c r="B38" s="115"/>
      <c r="C38" s="115"/>
    </row>
    <row r="39" spans="2:3" x14ac:dyDescent="0.25">
      <c r="B39" s="115"/>
      <c r="C39" s="115"/>
    </row>
    <row r="40" spans="2:3" x14ac:dyDescent="0.25">
      <c r="B40" s="115"/>
      <c r="C40" s="115"/>
    </row>
    <row r="41" spans="2:3" x14ac:dyDescent="0.25">
      <c r="B41" s="115"/>
      <c r="C41" s="115"/>
    </row>
    <row r="42" spans="2:3" x14ac:dyDescent="0.25">
      <c r="B42" s="115"/>
      <c r="C42" s="115"/>
    </row>
    <row r="43" spans="2:3" x14ac:dyDescent="0.25">
      <c r="B43" s="115"/>
      <c r="C43" s="115"/>
    </row>
    <row r="44" spans="2:3" x14ac:dyDescent="0.25">
      <c r="B44" s="115"/>
      <c r="C44" s="115"/>
    </row>
    <row r="45" spans="2:3" x14ac:dyDescent="0.25">
      <c r="B45" s="115"/>
      <c r="C45" s="115"/>
    </row>
    <row r="46" spans="2:3" x14ac:dyDescent="0.25">
      <c r="B46" s="115"/>
      <c r="C46" s="115"/>
    </row>
    <row r="47" spans="2:3" x14ac:dyDescent="0.25">
      <c r="B47" s="115"/>
      <c r="C47" s="115"/>
    </row>
    <row r="48" spans="2:3" x14ac:dyDescent="0.25">
      <c r="B48" s="115"/>
      <c r="C48" s="115"/>
    </row>
    <row r="49" spans="2:3" x14ac:dyDescent="0.25">
      <c r="B49" s="115"/>
      <c r="C49" s="115"/>
    </row>
    <row r="50" spans="2:3" x14ac:dyDescent="0.25">
      <c r="B50" s="115"/>
      <c r="C50" s="115"/>
    </row>
    <row r="51" spans="2:3" x14ac:dyDescent="0.25">
      <c r="B51" s="115"/>
      <c r="C51" s="115"/>
    </row>
    <row r="52" spans="2:3" x14ac:dyDescent="0.25">
      <c r="B52" s="115"/>
      <c r="C52" s="115"/>
    </row>
    <row r="53" spans="2:3" x14ac:dyDescent="0.25">
      <c r="B53" s="115"/>
      <c r="C53" s="115"/>
    </row>
  </sheetData>
  <pageMargins left="0.7" right="0.7" top="0.75" bottom="0.75" header="0.3" footer="0.3"/>
  <pageSetup paperSize="9" orientation="portrait" r:id="rId1"/>
  <headerFooter>
    <oddFooter>&amp;C_x000D_&amp;1#&amp;"Calibri"&amp;10&amp;K000000 DSV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26"/>
  <sheetViews>
    <sheetView zoomScale="90" zoomScaleNormal="90" workbookViewId="0">
      <pane xSplit="1" ySplit="2" topLeftCell="B3" activePane="bottomRight" state="frozen"/>
      <selection pane="topRight" activeCell="B1" sqref="B1"/>
      <selection pane="bottomLeft" activeCell="A3" sqref="A3"/>
      <selection pane="bottomRight" activeCell="B3" sqref="B3"/>
    </sheetView>
  </sheetViews>
  <sheetFormatPr defaultRowHeight="13.2" x14ac:dyDescent="0.25"/>
  <cols>
    <col min="1" max="1" width="12" customWidth="1"/>
    <col min="2" max="2" width="18.109375" style="99" bestFit="1" customWidth="1"/>
    <col min="3" max="3" width="50.6640625" style="57" customWidth="1"/>
    <col min="4" max="4" width="17.5546875" style="58" customWidth="1"/>
    <col min="5" max="5" width="34.6640625" style="58" customWidth="1"/>
    <col min="6" max="7" width="21.88671875" style="58" customWidth="1"/>
    <col min="8" max="8" width="21.88671875" style="99" customWidth="1"/>
    <col min="9" max="9" width="80.109375" customWidth="1"/>
  </cols>
  <sheetData>
    <row r="1" spans="1:8" ht="79.8" thickBot="1" x14ac:dyDescent="0.35">
      <c r="A1" s="14" t="s">
        <v>73</v>
      </c>
      <c r="E1" s="57" t="s">
        <v>74</v>
      </c>
      <c r="G1" s="57" t="s">
        <v>75</v>
      </c>
    </row>
    <row r="2" spans="1:8" s="2" customFormat="1" ht="31.8" thickBot="1" x14ac:dyDescent="0.35">
      <c r="A2" s="12" t="s">
        <v>76</v>
      </c>
      <c r="B2" s="103" t="s">
        <v>77</v>
      </c>
      <c r="C2" s="59" t="s">
        <v>78</v>
      </c>
      <c r="D2" s="59" t="s">
        <v>79</v>
      </c>
      <c r="E2" s="59" t="s">
        <v>80</v>
      </c>
      <c r="F2" s="59" t="s">
        <v>81</v>
      </c>
      <c r="G2" s="59" t="s">
        <v>82</v>
      </c>
      <c r="H2" s="105" t="s">
        <v>83</v>
      </c>
    </row>
    <row r="3" spans="1:8" x14ac:dyDescent="0.25">
      <c r="A3" s="15">
        <v>1</v>
      </c>
    </row>
    <row r="4" spans="1:8" x14ac:dyDescent="0.25">
      <c r="A4" s="13">
        <v>2</v>
      </c>
    </row>
    <row r="5" spans="1:8" x14ac:dyDescent="0.25">
      <c r="A5" s="13">
        <v>3</v>
      </c>
    </row>
    <row r="6" spans="1:8" x14ac:dyDescent="0.25">
      <c r="A6" s="13">
        <v>4</v>
      </c>
    </row>
    <row r="7" spans="1:8" x14ac:dyDescent="0.25">
      <c r="A7" s="13">
        <v>5</v>
      </c>
    </row>
    <row r="8" spans="1:8" x14ac:dyDescent="0.25">
      <c r="A8" s="13">
        <v>6</v>
      </c>
    </row>
    <row r="9" spans="1:8" x14ac:dyDescent="0.25">
      <c r="A9" s="13">
        <v>7</v>
      </c>
      <c r="F9" s="60"/>
    </row>
    <row r="10" spans="1:8" x14ac:dyDescent="0.25">
      <c r="A10" s="13">
        <v>8</v>
      </c>
    </row>
    <row r="11" spans="1:8" x14ac:dyDescent="0.25">
      <c r="A11" s="13">
        <v>9</v>
      </c>
    </row>
    <row r="12" spans="1:8" x14ac:dyDescent="0.25">
      <c r="A12" s="13">
        <v>10</v>
      </c>
    </row>
    <row r="13" spans="1:8" x14ac:dyDescent="0.25">
      <c r="A13" s="13">
        <v>11</v>
      </c>
    </row>
    <row r="14" spans="1:8" x14ac:dyDescent="0.25">
      <c r="A14" s="13">
        <v>12</v>
      </c>
      <c r="F14" s="60"/>
    </row>
    <row r="15" spans="1:8" x14ac:dyDescent="0.25">
      <c r="A15" s="13">
        <v>13</v>
      </c>
      <c r="F15" s="60"/>
    </row>
    <row r="16" spans="1:8" x14ac:dyDescent="0.25">
      <c r="A16" s="13">
        <v>14</v>
      </c>
      <c r="F16" s="60"/>
    </row>
    <row r="17" spans="1:11" x14ac:dyDescent="0.25">
      <c r="A17" s="13">
        <v>15</v>
      </c>
      <c r="F17" s="60"/>
    </row>
    <row r="18" spans="1:11" x14ac:dyDescent="0.25">
      <c r="A18" s="13">
        <v>16</v>
      </c>
      <c r="F18" s="60"/>
    </row>
    <row r="19" spans="1:11" x14ac:dyDescent="0.25">
      <c r="A19" s="13">
        <v>17</v>
      </c>
      <c r="F19" s="60"/>
    </row>
    <row r="20" spans="1:11" x14ac:dyDescent="0.25">
      <c r="A20" s="13">
        <v>18</v>
      </c>
      <c r="F20" s="60"/>
    </row>
    <row r="21" spans="1:11" x14ac:dyDescent="0.25">
      <c r="A21" s="13">
        <v>19</v>
      </c>
      <c r="F21" s="60"/>
    </row>
    <row r="22" spans="1:11" x14ac:dyDescent="0.25">
      <c r="A22" s="13">
        <v>20</v>
      </c>
      <c r="F22" s="60"/>
    </row>
    <row r="23" spans="1:11" x14ac:dyDescent="0.25">
      <c r="F23" s="60"/>
    </row>
    <row r="26" spans="1:11" s="2" customFormat="1" ht="15.6" x14ac:dyDescent="0.3">
      <c r="B26" s="104"/>
      <c r="C26" s="61"/>
      <c r="D26" s="62"/>
      <c r="E26" s="62"/>
      <c r="F26" s="62"/>
      <c r="G26" s="62"/>
      <c r="H26" s="104"/>
      <c r="K26" s="2" t="s">
        <v>84</v>
      </c>
    </row>
  </sheetData>
  <phoneticPr fontId="0" type="noConversion"/>
  <pageMargins left="0.75" right="0.75" top="1" bottom="1" header="0.5" footer="0.5"/>
  <pageSetup paperSize="9" orientation="portrait" r:id="rId1"/>
  <headerFooter alignWithMargins="0">
    <oddFooter>&amp;C_x000D_&amp;1#&amp;"Calibri"&amp;10&amp;K000000 DSV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TaxCatchAll xmlns="11e76996-0ddf-41c1-b944-d1c4a0f572f1" xsi:nil="true"/>
    <SharedWithUsers xmlns="782dc001-bedd-495f-9a84-9fd8a11ad293">
      <UserInfo>
        <DisplayName>END TO END INTEGRATION PROCESS FORUM Members</DisplayName>
        <AccountId>1740</AccountId>
        <AccountType/>
      </UserInfo>
    </SharedWithUsers>
    <lcf76f155ced4ddcb4097134ff3c332f xmlns="80ae84ed-fd28-49ce-b70b-49fe185fe8ae">
      <Terms xmlns="http://schemas.microsoft.com/office/infopath/2007/PartnerControls"/>
    </lcf76f155ced4ddcb4097134ff3c332f>
    <RepositoryLink xmlns="80ae84ed-fd28-49ce-b70b-49fe185fe8ae" xsi:nil="true"/>
    <Pratik xmlns="80ae84ed-fd28-49ce-b70b-49fe185fe8ae">
      <UserInfo>
        <DisplayName/>
        <AccountId xsi:nil="true"/>
        <AccountType/>
      </UserInfo>
    </Pratik>
    <link xmlns="80ae84ed-fd28-49ce-b70b-49fe185fe8ae">
      <Url xsi:nil="true"/>
      <Description xsi:nil="true"/>
    </link>
    <DateCreated xmlns="80ae84ed-fd28-49ce-b70b-49fe185fe8ae" xsi:nil="true"/>
    <DateAndTime xmlns="80ae84ed-fd28-49ce-b70b-49fe185fe8ae" xsi:nil="true"/>
    <_Flow_SignoffStatus xmlns="80ae84ed-fd28-49ce-b70b-49fe185fe8a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6B038D8CBC0744A2F96C2D247955E2" ma:contentTypeVersion="27" ma:contentTypeDescription="Create a new document." ma:contentTypeScope="" ma:versionID="cc22c6ccea3b0d8f4b3fd4afa7e3699e">
  <xsd:schema xmlns:xsd="http://www.w3.org/2001/XMLSchema" xmlns:xs="http://www.w3.org/2001/XMLSchema" xmlns:p="http://schemas.microsoft.com/office/2006/metadata/properties" xmlns:ns2="80ae84ed-fd28-49ce-b70b-49fe185fe8ae" xmlns:ns3="782dc001-bedd-495f-9a84-9fd8a11ad293" xmlns:ns4="11e76996-0ddf-41c1-b944-d1c4a0f572f1" targetNamespace="http://schemas.microsoft.com/office/2006/metadata/properties" ma:root="true" ma:fieldsID="2c804560813e2a037ce56ae5d1df026a" ns2:_="" ns3:_="" ns4:_="">
    <xsd:import namespace="80ae84ed-fd28-49ce-b70b-49fe185fe8ae"/>
    <xsd:import namespace="782dc001-bedd-495f-9a84-9fd8a11ad293"/>
    <xsd:import namespace="11e76996-0ddf-41c1-b944-d1c4a0f572f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_Flow_SignoffStatus" minOccurs="0"/>
                <xsd:element ref="ns3:SharedWithUsers" minOccurs="0"/>
                <xsd:element ref="ns3:SharedWithDetails" minOccurs="0"/>
                <xsd:element ref="ns2:link" minOccurs="0"/>
                <xsd:element ref="ns2:MediaServiceAutoKeyPoints" minOccurs="0"/>
                <xsd:element ref="ns2:MediaServiceKeyPoints" minOccurs="0"/>
                <xsd:element ref="ns2:Pratik"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DateAndTime" minOccurs="0"/>
                <xsd:element ref="ns2:MediaServiceSearchProperties" minOccurs="0"/>
                <xsd:element ref="ns2:DateCreated" minOccurs="0"/>
                <xsd:element ref="ns2:MediaServiceBillingMetadata" minOccurs="0"/>
                <xsd:element ref="ns2:Repository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ae84ed-fd28-49ce-b70b-49fe185fe8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_Flow_SignoffStatus" ma:index="15" nillable="true" ma:displayName="Sign-off status" ma:internalName="Sign_x002d_off_x0020_status">
      <xsd:simpleType>
        <xsd:restriction base="dms:Text"/>
      </xsd:simpleType>
    </xsd:element>
    <xsd:element name="link" ma:index="18"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Pratik" ma:index="21" nillable="true" ma:displayName="Pratik" ma:format="Dropdown" ma:list="UserInfo" ma:SharePointGroup="0" ma:internalName="Pratik">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2e879f6f-b325-4b8f-a44f-5cc8dac506d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DateAndTime" ma:index="28" nillable="true" ma:displayName="DateAndTime" ma:format="DateOnly" ma:internalName="DateAndTime">
      <xsd:simpleType>
        <xsd:restriction base="dms:DateTime"/>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DateCreated" ma:index="30" nillable="true" ma:displayName="Date Created" ma:format="DateOnly" ma:internalName="DateCreated">
      <xsd:simpleType>
        <xsd:restriction base="dms:DateTime"/>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RepositoryLink" ma:index="32" nillable="true" ma:displayName="Repository Link" ma:format="Dropdown" ma:internalName="RepositoryLink">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2dc001-bedd-495f-9a84-9fd8a11ad29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1e76996-0ddf-41c1-b944-d1c4a0f572f1"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3ce9fec2-f82e-4bb4-992b-a6447f4da4e7}" ma:internalName="TaxCatchAll" ma:showField="CatchAllData" ma:web="782dc001-bedd-495f-9a84-9fd8a11ad2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9040E4E7-7237-4C3C-8D80-DA5C53838B0C}">
  <ds:schemaRefs>
    <ds:schemaRef ds:uri="http://schemas.microsoft.com/office/2006/metadata/longProperties"/>
  </ds:schemaRefs>
</ds:datastoreItem>
</file>

<file path=customXml/itemProps2.xml><?xml version="1.0" encoding="utf-8"?>
<ds:datastoreItem xmlns:ds="http://schemas.openxmlformats.org/officeDocument/2006/customXml" ds:itemID="{D1012FC2-558C-422D-BF8B-E0055FD04FD3}">
  <ds:schemaRefs>
    <ds:schemaRef ds:uri="http://purl.org/dc/dcmitype/"/>
    <ds:schemaRef ds:uri="57628ec5-f25b-4e57-ae8d-f6b0ea934ee9"/>
    <ds:schemaRef ds:uri="782dc001-bedd-495f-9a84-9fd8a11ad293"/>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purl.org/dc/terms/"/>
    <ds:schemaRef ds:uri="http://schemas.microsoft.com/office/2006/documentManagement/types"/>
    <ds:schemaRef ds:uri="11e76996-0ddf-41c1-b944-d1c4a0f572f1"/>
    <ds:schemaRef ds:uri="http://www.w3.org/XML/1998/namespace"/>
  </ds:schemaRefs>
</ds:datastoreItem>
</file>

<file path=customXml/itemProps3.xml><?xml version="1.0" encoding="utf-8"?>
<ds:datastoreItem xmlns:ds="http://schemas.openxmlformats.org/officeDocument/2006/customXml" ds:itemID="{BE4A0ACC-4A6B-43C3-8597-BD09824A1250}"/>
</file>

<file path=customXml/itemProps4.xml><?xml version="1.0" encoding="utf-8"?>
<ds:datastoreItem xmlns:ds="http://schemas.openxmlformats.org/officeDocument/2006/customXml" ds:itemID="{3A77F112-5F73-48E2-AC90-D19CD9C31B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Changelog</vt:lpstr>
      <vt:lpstr>Instruction EDI test</vt:lpstr>
      <vt:lpstr>UNIT Test Scenario</vt:lpstr>
      <vt:lpstr>INT Test Scenario - LW FW</vt:lpstr>
      <vt:lpstr>INT Test Scenario - DSV FW</vt:lpstr>
      <vt:lpstr>UAT Scenario</vt:lpstr>
      <vt:lpstr>Regression Test Scenario</vt:lpstr>
      <vt:lpstr>Issues</vt:lpstr>
      <vt:lpstr>'Instruction EDI test'!_Toc283979650</vt:lpstr>
      <vt:lpstr>'Instruction EDI test'!_Toc283979651</vt:lpstr>
      <vt:lpstr>'Instruction EDI test'!_Toc283979652</vt:lpstr>
      <vt:lpstr>'Instruction EDI test'!_Toc283979653</vt:lpstr>
      <vt:lpstr>'Instruction EDI test'!_Toc283979654</vt:lpstr>
      <vt:lpstr>'Instruction EDI test'!_Toc283979655</vt:lpstr>
      <vt:lpstr>'Instruction EDI test'!_Toc283979656</vt:lpstr>
      <vt:lpstr>'Instruction EDI test'!_Toc283979657</vt:lpstr>
      <vt:lpstr>RITM</vt:lpstr>
      <vt:lpstr>SRQ</vt:lpstr>
    </vt:vector>
  </TitlesOfParts>
  <Manager/>
  <Company>DFDS Transport Group 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EXT.Sairam Naik Gugulothu</dc:creator>
  <cp:keywords/>
  <dc:description/>
  <cp:lastModifiedBy>EXT.Sairam Naik Gugulothu</cp:lastModifiedBy>
  <cp:revision/>
  <dcterms:created xsi:type="dcterms:W3CDTF">2006-05-09T13:38:42Z</dcterms:created>
  <dcterms:modified xsi:type="dcterms:W3CDTF">2026-08-05T18:04:12Z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0x010100816B038D8CBC0744A2F96C2D247955E2</vt:lpwstr>
  </property>
  <property fmtid="{D5CDD505-2E9C-101B-9397-08002B2CF9AE}" pid="4" name="MediaServiceImageTags">
    <vt:lpwstr/>
  </property>
  <property fmtid="{D5CDD505-2E9C-101B-9397-08002B2CF9AE}" pid="5" name="MSIP_Label_fc6c1fee-2f04-49ca-98cf-bcf61896c7fa_Enabled">
    <vt:lpwstr>true</vt:lpwstr>
  </property>
  <property fmtid="{D5CDD505-2E9C-101B-9397-08002B2CF9AE}" pid="6" name="MSIP_Label_fc6c1fee-2f04-49ca-98cf-bcf61896c7fa_SetDate">
    <vt:lpwstr>2025-04-11T10:28:12Z</vt:lpwstr>
  </property>
  <property fmtid="{D5CDD505-2E9C-101B-9397-08002B2CF9AE}" pid="7" name="MSIP_Label_fc6c1fee-2f04-49ca-98cf-bcf61896c7fa_Method">
    <vt:lpwstr>Standard</vt:lpwstr>
  </property>
  <property fmtid="{D5CDD505-2E9C-101B-9397-08002B2CF9AE}" pid="8" name="MSIP_Label_fc6c1fee-2f04-49ca-98cf-bcf61896c7fa_Name">
    <vt:lpwstr>Internal</vt:lpwstr>
  </property>
  <property fmtid="{D5CDD505-2E9C-101B-9397-08002B2CF9AE}" pid="9" name="MSIP_Label_fc6c1fee-2f04-49ca-98cf-bcf61896c7fa_SiteId">
    <vt:lpwstr>4a90c23a-3ece-4ef2-b857-522f23b8204c</vt:lpwstr>
  </property>
  <property fmtid="{D5CDD505-2E9C-101B-9397-08002B2CF9AE}" pid="10" name="MSIP_Label_fc6c1fee-2f04-49ca-98cf-bcf61896c7fa_ActionId">
    <vt:lpwstr>3639c43a-71f2-491d-a04e-a5663af2a00b</vt:lpwstr>
  </property>
  <property fmtid="{D5CDD505-2E9C-101B-9397-08002B2CF9AE}" pid="11" name="MSIP_Label_fc6c1fee-2f04-49ca-98cf-bcf61896c7fa_ContentBits">
    <vt:lpwstr>2</vt:lpwstr>
  </property>
</Properties>
</file>